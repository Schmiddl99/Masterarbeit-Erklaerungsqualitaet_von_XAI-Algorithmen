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2ba673c7cea1b3/UNIVERSITÄT/Master/5. Semester (Masterarbeit)/"/>
    </mc:Choice>
  </mc:AlternateContent>
  <xr:revisionPtr revIDLastSave="341" documentId="11_09A87C75DCC818110157FC8658BC98ECE47A0733" xr6:coauthVersionLast="47" xr6:coauthVersionMax="47" xr10:uidLastSave="{D3DDE267-C0D6-4CF8-84B0-3B19631F3BBD}"/>
  <bookViews>
    <workbookView xWindow="0" yWindow="15" windowWidth="25575" windowHeight="13665" tabRatio="462" xr2:uid="{00000000-000D-0000-FFFF-FFFF00000000}"/>
  </bookViews>
  <sheets>
    <sheet name="Untersuchung zur Erklärungsqua" sheetId="1" r:id="rId1"/>
    <sheet name="Auswertung Darstellung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62" i="1" l="1"/>
  <c r="CA62" i="1"/>
  <c r="CB62" i="1"/>
  <c r="CC62" i="1"/>
  <c r="CD62" i="1"/>
  <c r="CE62" i="1"/>
  <c r="CF62" i="1"/>
  <c r="BY62" i="1"/>
  <c r="BV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S62" i="1"/>
  <c r="BP62" i="1"/>
  <c r="BU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T2" i="1"/>
  <c r="BT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R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2" i="1"/>
  <c r="BL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O2" i="1"/>
  <c r="BO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N2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M2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X62" i="1"/>
  <c r="BJ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H62" i="1"/>
  <c r="J3" i="2"/>
  <c r="J4" i="2"/>
  <c r="J5" i="2"/>
  <c r="J6" i="2"/>
  <c r="J7" i="2"/>
  <c r="J2" i="2"/>
  <c r="D15" i="2"/>
  <c r="D10" i="2"/>
  <c r="D12" i="2"/>
  <c r="D14" i="2"/>
  <c r="D11" i="2"/>
  <c r="D13" i="2"/>
  <c r="AE3" i="2"/>
  <c r="AF3" i="2"/>
  <c r="AG3" i="2"/>
  <c r="AH3" i="2"/>
  <c r="AI3" i="2"/>
  <c r="AJ3" i="2"/>
  <c r="AE4" i="2"/>
  <c r="AF4" i="2"/>
  <c r="AG4" i="2"/>
  <c r="AH4" i="2"/>
  <c r="AI4" i="2"/>
  <c r="AJ4" i="2"/>
  <c r="AE5" i="2"/>
  <c r="AF5" i="2"/>
  <c r="AG5" i="2"/>
  <c r="AH5" i="2"/>
  <c r="AI5" i="2"/>
  <c r="AJ5" i="2"/>
  <c r="AE6" i="2"/>
  <c r="AF6" i="2"/>
  <c r="AG6" i="2"/>
  <c r="AH6" i="2"/>
  <c r="AI6" i="2"/>
  <c r="AJ6" i="2"/>
  <c r="AE7" i="2"/>
  <c r="AF7" i="2"/>
  <c r="AG7" i="2"/>
  <c r="AH7" i="2"/>
  <c r="AI7" i="2"/>
  <c r="AJ7" i="2"/>
  <c r="AE8" i="2"/>
  <c r="AF8" i="2"/>
  <c r="AG8" i="2"/>
  <c r="AH8" i="2"/>
  <c r="AI8" i="2"/>
  <c r="AJ8" i="2"/>
  <c r="AE9" i="2"/>
  <c r="AF9" i="2"/>
  <c r="AG9" i="2"/>
  <c r="AH9" i="2"/>
  <c r="AI9" i="2"/>
  <c r="AJ9" i="2"/>
  <c r="AE10" i="2"/>
  <c r="AF10" i="2"/>
  <c r="AG10" i="2"/>
  <c r="AH10" i="2"/>
  <c r="AI10" i="2"/>
  <c r="AJ10" i="2"/>
  <c r="AE11" i="2"/>
  <c r="AF11" i="2"/>
  <c r="AG11" i="2"/>
  <c r="AH11" i="2"/>
  <c r="AI11" i="2"/>
  <c r="AJ11" i="2"/>
  <c r="AE12" i="2"/>
  <c r="AF12" i="2"/>
  <c r="AG12" i="2"/>
  <c r="AH12" i="2"/>
  <c r="AI12" i="2"/>
  <c r="AJ12" i="2"/>
  <c r="AE13" i="2"/>
  <c r="AF13" i="2"/>
  <c r="AG13" i="2"/>
  <c r="AH13" i="2"/>
  <c r="AI13" i="2"/>
  <c r="AJ13" i="2"/>
  <c r="AE14" i="2"/>
  <c r="AF14" i="2"/>
  <c r="AG14" i="2"/>
  <c r="AH14" i="2"/>
  <c r="AI14" i="2"/>
  <c r="AJ14" i="2"/>
  <c r="AE15" i="2"/>
  <c r="AF15" i="2"/>
  <c r="AG15" i="2"/>
  <c r="AH15" i="2"/>
  <c r="AI15" i="2"/>
  <c r="AJ15" i="2"/>
  <c r="AE16" i="2"/>
  <c r="AF16" i="2"/>
  <c r="AG16" i="2"/>
  <c r="AH16" i="2"/>
  <c r="AI16" i="2"/>
  <c r="AJ16" i="2"/>
  <c r="AE17" i="2"/>
  <c r="AF17" i="2"/>
  <c r="AG17" i="2"/>
  <c r="AH17" i="2"/>
  <c r="AI17" i="2"/>
  <c r="AJ17" i="2"/>
  <c r="AE18" i="2"/>
  <c r="AF18" i="2"/>
  <c r="AG18" i="2"/>
  <c r="AH18" i="2"/>
  <c r="AI18" i="2"/>
  <c r="AJ18" i="2"/>
  <c r="AE19" i="2"/>
  <c r="AF19" i="2"/>
  <c r="AG19" i="2"/>
  <c r="AH19" i="2"/>
  <c r="AI19" i="2"/>
  <c r="AJ19" i="2"/>
  <c r="AE20" i="2"/>
  <c r="AF20" i="2"/>
  <c r="AG20" i="2"/>
  <c r="AH20" i="2"/>
  <c r="AI20" i="2"/>
  <c r="AJ20" i="2"/>
  <c r="AE21" i="2"/>
  <c r="AF21" i="2"/>
  <c r="AG21" i="2"/>
  <c r="AH21" i="2"/>
  <c r="AI21" i="2"/>
  <c r="AJ21" i="2"/>
  <c r="AE22" i="2"/>
  <c r="AF22" i="2"/>
  <c r="AG22" i="2"/>
  <c r="AH22" i="2"/>
  <c r="AI22" i="2"/>
  <c r="AJ22" i="2"/>
  <c r="AE23" i="2"/>
  <c r="AF23" i="2"/>
  <c r="AG23" i="2"/>
  <c r="AH23" i="2"/>
  <c r="AI23" i="2"/>
  <c r="AJ23" i="2"/>
  <c r="AE24" i="2"/>
  <c r="AF24" i="2"/>
  <c r="AG24" i="2"/>
  <c r="AH24" i="2"/>
  <c r="AI24" i="2"/>
  <c r="AJ24" i="2"/>
  <c r="AE25" i="2"/>
  <c r="AF25" i="2"/>
  <c r="AG25" i="2"/>
  <c r="AH25" i="2"/>
  <c r="AI25" i="2"/>
  <c r="AJ25" i="2"/>
  <c r="AE26" i="2"/>
  <c r="AF26" i="2"/>
  <c r="AG26" i="2"/>
  <c r="AH26" i="2"/>
  <c r="AI26" i="2"/>
  <c r="AJ26" i="2"/>
  <c r="AE27" i="2"/>
  <c r="AF27" i="2"/>
  <c r="AG27" i="2"/>
  <c r="AH27" i="2"/>
  <c r="AI27" i="2"/>
  <c r="AJ27" i="2"/>
  <c r="AE28" i="2"/>
  <c r="AF28" i="2"/>
  <c r="AG28" i="2"/>
  <c r="AH28" i="2"/>
  <c r="AI28" i="2"/>
  <c r="AJ28" i="2"/>
  <c r="AE29" i="2"/>
  <c r="AF29" i="2"/>
  <c r="AG29" i="2"/>
  <c r="AH29" i="2"/>
  <c r="AI29" i="2"/>
  <c r="AJ29" i="2"/>
  <c r="AE30" i="2"/>
  <c r="AF30" i="2"/>
  <c r="AG30" i="2"/>
  <c r="AH30" i="2"/>
  <c r="AI30" i="2"/>
  <c r="AJ30" i="2"/>
  <c r="AE31" i="2"/>
  <c r="AF31" i="2"/>
  <c r="AG31" i="2"/>
  <c r="AH31" i="2"/>
  <c r="AI31" i="2"/>
  <c r="AJ31" i="2"/>
  <c r="AE32" i="2"/>
  <c r="AF32" i="2"/>
  <c r="AG32" i="2"/>
  <c r="AH32" i="2"/>
  <c r="AI32" i="2"/>
  <c r="AJ32" i="2"/>
  <c r="AE33" i="2"/>
  <c r="AF33" i="2"/>
  <c r="AG33" i="2"/>
  <c r="AH33" i="2"/>
  <c r="AI33" i="2"/>
  <c r="AJ33" i="2"/>
  <c r="AE34" i="2"/>
  <c r="AF34" i="2"/>
  <c r="AG34" i="2"/>
  <c r="AH34" i="2"/>
  <c r="AI34" i="2"/>
  <c r="AJ34" i="2"/>
  <c r="AE35" i="2"/>
  <c r="AF35" i="2"/>
  <c r="AG35" i="2"/>
  <c r="AH35" i="2"/>
  <c r="AI35" i="2"/>
  <c r="AJ35" i="2"/>
  <c r="AE36" i="2"/>
  <c r="AF36" i="2"/>
  <c r="AG36" i="2"/>
  <c r="AH36" i="2"/>
  <c r="AI36" i="2"/>
  <c r="AJ36" i="2"/>
  <c r="AE37" i="2"/>
  <c r="AF37" i="2"/>
  <c r="AG37" i="2"/>
  <c r="AH37" i="2"/>
  <c r="AI37" i="2"/>
  <c r="AJ37" i="2"/>
  <c r="AE38" i="2"/>
  <c r="AF38" i="2"/>
  <c r="AG38" i="2"/>
  <c r="AH38" i="2"/>
  <c r="AI38" i="2"/>
  <c r="AJ38" i="2"/>
  <c r="AE39" i="2"/>
  <c r="AF39" i="2"/>
  <c r="AG39" i="2"/>
  <c r="AH39" i="2"/>
  <c r="AI39" i="2"/>
  <c r="AJ39" i="2"/>
  <c r="AE40" i="2"/>
  <c r="AF40" i="2"/>
  <c r="AG40" i="2"/>
  <c r="AH40" i="2"/>
  <c r="AI40" i="2"/>
  <c r="AJ40" i="2"/>
  <c r="AE41" i="2"/>
  <c r="AF41" i="2"/>
  <c r="AG41" i="2"/>
  <c r="AH41" i="2"/>
  <c r="AI41" i="2"/>
  <c r="AJ41" i="2"/>
  <c r="AE42" i="2"/>
  <c r="AF42" i="2"/>
  <c r="AG42" i="2"/>
  <c r="AH42" i="2"/>
  <c r="AI42" i="2"/>
  <c r="AJ42" i="2"/>
  <c r="AE43" i="2"/>
  <c r="AF43" i="2"/>
  <c r="AG43" i="2"/>
  <c r="AH43" i="2"/>
  <c r="AI43" i="2"/>
  <c r="AJ43" i="2"/>
  <c r="AE44" i="2"/>
  <c r="AF44" i="2"/>
  <c r="AG44" i="2"/>
  <c r="AH44" i="2"/>
  <c r="AI44" i="2"/>
  <c r="AJ44" i="2"/>
  <c r="AE45" i="2"/>
  <c r="AF45" i="2"/>
  <c r="AG45" i="2"/>
  <c r="AH45" i="2"/>
  <c r="AI45" i="2"/>
  <c r="AJ45" i="2"/>
  <c r="AE46" i="2"/>
  <c r="AF46" i="2"/>
  <c r="AG46" i="2"/>
  <c r="AH46" i="2"/>
  <c r="AI46" i="2"/>
  <c r="AJ46" i="2"/>
  <c r="AE47" i="2"/>
  <c r="AF47" i="2"/>
  <c r="AG47" i="2"/>
  <c r="AH47" i="2"/>
  <c r="AI47" i="2"/>
  <c r="AJ47" i="2"/>
  <c r="AE48" i="2"/>
  <c r="AF48" i="2"/>
  <c r="AG48" i="2"/>
  <c r="AH48" i="2"/>
  <c r="AI48" i="2"/>
  <c r="AJ48" i="2"/>
  <c r="AE49" i="2"/>
  <c r="AF49" i="2"/>
  <c r="AG49" i="2"/>
  <c r="AH49" i="2"/>
  <c r="AI49" i="2"/>
  <c r="AJ49" i="2"/>
  <c r="AE50" i="2"/>
  <c r="AF50" i="2"/>
  <c r="AG50" i="2"/>
  <c r="AH50" i="2"/>
  <c r="AI50" i="2"/>
  <c r="AJ50" i="2"/>
  <c r="AE51" i="2"/>
  <c r="AF51" i="2"/>
  <c r="AG51" i="2"/>
  <c r="AH51" i="2"/>
  <c r="AI51" i="2"/>
  <c r="AJ51" i="2"/>
  <c r="AE52" i="2"/>
  <c r="AF52" i="2"/>
  <c r="AG52" i="2"/>
  <c r="AH52" i="2"/>
  <c r="AI52" i="2"/>
  <c r="AJ52" i="2"/>
  <c r="AF2" i="2"/>
  <c r="AF53" i="2" s="1"/>
  <c r="AG2" i="2"/>
  <c r="AG53" i="2" s="1"/>
  <c r="AH2" i="2"/>
  <c r="AH53" i="2" s="1"/>
  <c r="AI2" i="2"/>
  <c r="AI53" i="2" s="1"/>
  <c r="AJ2" i="2"/>
  <c r="AJ53" i="2" s="1"/>
  <c r="AE2" i="2"/>
  <c r="AE53" i="2" s="1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BR62" i="1" l="1"/>
  <c r="BU62" i="1"/>
  <c r="BT62" i="1"/>
  <c r="BQ62" i="1"/>
  <c r="BO62" i="1"/>
  <c r="BL62" i="1"/>
  <c r="BM62" i="1"/>
  <c r="BN62" i="1"/>
  <c r="U7" i="2"/>
  <c r="U6" i="2"/>
  <c r="U3" i="2"/>
  <c r="U4" i="2"/>
  <c r="U8" i="2"/>
  <c r="U5" i="2"/>
  <c r="U2" i="2"/>
</calcChain>
</file>

<file path=xl/sharedStrings.xml><?xml version="1.0" encoding="utf-8"?>
<sst xmlns="http://schemas.openxmlformats.org/spreadsheetml/2006/main" count="1033" uniqueCount="233">
  <si>
    <t>id</t>
  </si>
  <si>
    <t>submitdate</t>
  </si>
  <si>
    <t>lastpage</t>
  </si>
  <si>
    <t>startlanguage</t>
  </si>
  <si>
    <t>seed</t>
  </si>
  <si>
    <t>startdate</t>
  </si>
  <si>
    <t>datestamp</t>
  </si>
  <si>
    <t>CF[EQ01]</t>
  </si>
  <si>
    <t>CF[EQ02]</t>
  </si>
  <si>
    <t>CF[EQ03]</t>
  </si>
  <si>
    <t>CF[EQ04]</t>
  </si>
  <si>
    <t>CF[EQ05]</t>
  </si>
  <si>
    <t>CF[EQ06]</t>
  </si>
  <si>
    <t>CF[EQ07]</t>
  </si>
  <si>
    <t>CF[EQ08]</t>
  </si>
  <si>
    <t>NN[EQ01]</t>
  </si>
  <si>
    <t>NN[EQ02]</t>
  </si>
  <si>
    <t>NN[EQ03]</t>
  </si>
  <si>
    <t>NN[EQ04]</t>
  </si>
  <si>
    <t>NN[EQ05]</t>
  </si>
  <si>
    <t>NN[EQ06]</t>
  </si>
  <si>
    <t>NN[EQ07]</t>
  </si>
  <si>
    <t>NN[EQ08]</t>
  </si>
  <si>
    <t>Anchor[EQ01]</t>
  </si>
  <si>
    <t>Anchor[EQ02]</t>
  </si>
  <si>
    <t>Anchor[EQ03]</t>
  </si>
  <si>
    <t>Anchor[EQ04]</t>
  </si>
  <si>
    <t>Anchor[EQ05]</t>
  </si>
  <si>
    <t>Anchor[EQ06]</t>
  </si>
  <si>
    <t>Anchor[EQ07]</t>
  </si>
  <si>
    <t>Anchor[EQ08]</t>
  </si>
  <si>
    <t>LIME[EQ01]</t>
  </si>
  <si>
    <t>LIME[EQ02]</t>
  </si>
  <si>
    <t>LIME[EQ03]</t>
  </si>
  <si>
    <t>LIME[EQ04]</t>
  </si>
  <si>
    <t>LIME[EQ05]</t>
  </si>
  <si>
    <t>LIME[EQ06]</t>
  </si>
  <si>
    <t>LIME[EQ07]</t>
  </si>
  <si>
    <t>LIME[EQ08]</t>
  </si>
  <si>
    <t>SHAP[EQ01]</t>
  </si>
  <si>
    <t>SHAP[EQ02]</t>
  </si>
  <si>
    <t>SHAP[EQ03]</t>
  </si>
  <si>
    <t>SHAP[EQ04]</t>
  </si>
  <si>
    <t>SHAP[EQ05]</t>
  </si>
  <si>
    <t>SHAP[EQ06]</t>
  </si>
  <si>
    <t>SHAP[EQ07]</t>
  </si>
  <si>
    <t>SHAP[EQ08]</t>
  </si>
  <si>
    <t>DT[EQ01]</t>
  </si>
  <si>
    <t>DT[EQ02]</t>
  </si>
  <si>
    <t>DT[EQ03]</t>
  </si>
  <si>
    <t>DT[EQ04]</t>
  </si>
  <si>
    <t>DT[EQ05]</t>
  </si>
  <si>
    <t>DT[EQ06]</t>
  </si>
  <si>
    <t>DT[EQ07]</t>
  </si>
  <si>
    <t>DT[EQ08]</t>
  </si>
  <si>
    <t>Rang[1]</t>
  </si>
  <si>
    <t>Rang[2]</t>
  </si>
  <si>
    <t>Rang[3]</t>
  </si>
  <si>
    <t>Rang[4]</t>
  </si>
  <si>
    <t>Rang[5]</t>
  </si>
  <si>
    <t>Rang[6]</t>
  </si>
  <si>
    <t>interviewtime</t>
  </si>
  <si>
    <t>CFTime</t>
  </si>
  <si>
    <t>NNTime</t>
  </si>
  <si>
    <t>AnchorTime</t>
  </si>
  <si>
    <t>LIMETime</t>
  </si>
  <si>
    <t>SHAPTime</t>
  </si>
  <si>
    <t>DTTime</t>
  </si>
  <si>
    <t>RangTime</t>
  </si>
  <si>
    <t>KV1Time</t>
  </si>
  <si>
    <t>2025-09-08 10:59:07</t>
  </si>
  <si>
    <t>de</t>
  </si>
  <si>
    <t>2025-09-08 10:47:15</t>
  </si>
  <si>
    <t>Darstellung L</t>
  </si>
  <si>
    <t>Darstellung D</t>
  </si>
  <si>
    <t>Darstellung A</t>
  </si>
  <si>
    <t>Darstellung N</t>
  </si>
  <si>
    <t>Darstellung C</t>
  </si>
  <si>
    <t>Darstellung S</t>
  </si>
  <si>
    <t>2025-09-09 19:44:15</t>
  </si>
  <si>
    <t>2025-09-09 19:16:38</t>
  </si>
  <si>
    <t>2025-09-09 20:12:50</t>
  </si>
  <si>
    <t>2025-09-09 19:49:47</t>
  </si>
  <si>
    <t>2025-09-10 11:35:30</t>
  </si>
  <si>
    <t>2025-09-10 11:08:48</t>
  </si>
  <si>
    <t>2025-09-10 11:42:58</t>
  </si>
  <si>
    <t>2025-09-10 11:33:54</t>
  </si>
  <si>
    <t>2025-09-10 12:26:53</t>
  </si>
  <si>
    <t>2025-09-10 12:14:44</t>
  </si>
  <si>
    <t>2025-09-10 12:32:23</t>
  </si>
  <si>
    <t>2025-09-10 12:15:20</t>
  </si>
  <si>
    <t>2025-09-10 12:39:53</t>
  </si>
  <si>
    <t>2025-09-10 12:15:52</t>
  </si>
  <si>
    <t>2025-09-10 16:05:11</t>
  </si>
  <si>
    <t>2025-09-10 14:54:59</t>
  </si>
  <si>
    <t>2025-09-10 16:12:39</t>
  </si>
  <si>
    <t>2025-09-10 15:33:27</t>
  </si>
  <si>
    <t>2025-09-10 16:28:52</t>
  </si>
  <si>
    <t>2025-09-10 16:15:12</t>
  </si>
  <si>
    <t>2025-09-10 16:47:16</t>
  </si>
  <si>
    <t>2025-09-10 16:38:15</t>
  </si>
  <si>
    <t>2025-09-10 17:36:39</t>
  </si>
  <si>
    <t>2025-09-10 17:21:32</t>
  </si>
  <si>
    <t>2025-09-10 18:04:40</t>
  </si>
  <si>
    <t>2025-09-10 17:54:33</t>
  </si>
  <si>
    <t>2025-09-14 10:54:51</t>
  </si>
  <si>
    <t>2025-09-14 10:40:30</t>
  </si>
  <si>
    <t>2025-09-15 09:30:20</t>
  </si>
  <si>
    <t>2025-09-15 09:21:14</t>
  </si>
  <si>
    <t>2025-09-15 09:53:13</t>
  </si>
  <si>
    <t>2025-09-15 09:35:54</t>
  </si>
  <si>
    <t>2025-09-15 15:01:57</t>
  </si>
  <si>
    <t>2025-09-15 14:30:04</t>
  </si>
  <si>
    <t>2025-09-15 16:20:22</t>
  </si>
  <si>
    <t>2025-09-15 16:06:38</t>
  </si>
  <si>
    <t>2025-09-15 17:26:52</t>
  </si>
  <si>
    <t>2025-09-15 17:14:53</t>
  </si>
  <si>
    <t>2025-09-15 20:36:58</t>
  </si>
  <si>
    <t>2025-09-15 20:16:47</t>
  </si>
  <si>
    <t>2025-09-15 20:47:37</t>
  </si>
  <si>
    <t>2025-09-15 20:36:32</t>
  </si>
  <si>
    <t>2025-09-16 05:24:55</t>
  </si>
  <si>
    <t>2025-09-16 04:58:02</t>
  </si>
  <si>
    <t>2025-09-16 06:00:35</t>
  </si>
  <si>
    <t>2025-09-16 05:48:50</t>
  </si>
  <si>
    <t>2025-09-16 07:11:08</t>
  </si>
  <si>
    <t>2025-09-16 06:52:08</t>
  </si>
  <si>
    <t>2025-09-16 07:27:51</t>
  </si>
  <si>
    <t>2025-09-16 07:22:13</t>
  </si>
  <si>
    <t>2025-09-16 07:54:50</t>
  </si>
  <si>
    <t>2025-09-16 07:40:52</t>
  </si>
  <si>
    <t>2025-09-16 10:07:32</t>
  </si>
  <si>
    <t>2025-09-16 09:44:59</t>
  </si>
  <si>
    <t>2025-09-16 10:23:47</t>
  </si>
  <si>
    <t>2025-09-16 10:12:23</t>
  </si>
  <si>
    <t>2025-09-16 13:03:24</t>
  </si>
  <si>
    <t>2025-09-16 12:48:37</t>
  </si>
  <si>
    <t>2025-09-16 17:26:00</t>
  </si>
  <si>
    <t>2025-09-16 17:10:22</t>
  </si>
  <si>
    <t>2025-09-16 18:38:16</t>
  </si>
  <si>
    <t>2025-09-16 18:18:54</t>
  </si>
  <si>
    <t>2025-09-16 19:12:59</t>
  </si>
  <si>
    <t>2025-09-16 18:57:31</t>
  </si>
  <si>
    <t>2025-09-17 06:14:14</t>
  </si>
  <si>
    <t>2025-09-17 06:01:25</t>
  </si>
  <si>
    <t>2025-09-19 12:51:19</t>
  </si>
  <si>
    <t>2025-09-19 12:41:09</t>
  </si>
  <si>
    <t>2025-09-19 13:42:07</t>
  </si>
  <si>
    <t>2025-09-19 13:38:46</t>
  </si>
  <si>
    <t>2025-09-19 16:05:47</t>
  </si>
  <si>
    <t>2025-09-19 15:47:34</t>
  </si>
  <si>
    <t>2025-09-20 07:44:05</t>
  </si>
  <si>
    <t>2025-09-20 07:31:07</t>
  </si>
  <si>
    <t>2025-09-21 11:00:43</t>
  </si>
  <si>
    <t>2025-09-21 10:32:42</t>
  </si>
  <si>
    <t>2025-09-21 11:13:56</t>
  </si>
  <si>
    <t>2025-09-21 11:02:26</t>
  </si>
  <si>
    <t>2025-09-21 11:32:41</t>
  </si>
  <si>
    <t>2025-09-21 11:15:21</t>
  </si>
  <si>
    <t>2025-09-22 02:39:47</t>
  </si>
  <si>
    <t>2025-09-22 02:32:54</t>
  </si>
  <si>
    <t>2025-09-22 05:29:40</t>
  </si>
  <si>
    <t>2025-09-22 05:15:50</t>
  </si>
  <si>
    <t>2025-09-22 07:49:22</t>
  </si>
  <si>
    <t>2025-09-22 07:05:55</t>
  </si>
  <si>
    <t>2025-09-22 09:13:13</t>
  </si>
  <si>
    <t>2025-09-22 07:20:09</t>
  </si>
  <si>
    <t>2025-09-22 08:33:24</t>
  </si>
  <si>
    <t>2025-09-22 07:51:00</t>
  </si>
  <si>
    <t>2025-09-22 09:28:04</t>
  </si>
  <si>
    <t>2025-09-22 08:46:19</t>
  </si>
  <si>
    <t>2025-09-22 09:10:32</t>
  </si>
  <si>
    <t>2025-09-22 08:54:59</t>
  </si>
  <si>
    <t>2025-09-22 09:14:18</t>
  </si>
  <si>
    <t>2025-09-22 09:01:39</t>
  </si>
  <si>
    <t>2025-09-22 11:04:04</t>
  </si>
  <si>
    <t>2025-09-22 10:41:31</t>
  </si>
  <si>
    <t>2025-09-23 07:12:06</t>
  </si>
  <si>
    <t>2025-09-23 06:32:10</t>
  </si>
  <si>
    <t>2025-09-23 09:18:08</t>
  </si>
  <si>
    <t>2025-09-23 08:55:13</t>
  </si>
  <si>
    <t>2025-09-23 14:35:03</t>
  </si>
  <si>
    <t>2025-09-23 14:19:15</t>
  </si>
  <si>
    <t>2025-09-24 09:19:56</t>
  </si>
  <si>
    <t>2025-09-24 09:09:57</t>
  </si>
  <si>
    <t>2025-09-24 15:51:55</t>
  </si>
  <si>
    <t>2025-09-24 15:37:41</t>
  </si>
  <si>
    <t>2025-09-25 12:42:37</t>
  </si>
  <si>
    <t>2025-09-25 09:30:24</t>
  </si>
  <si>
    <t>2025-09-26 03:40:36</t>
  </si>
  <si>
    <t>2025-09-26 03:27:39</t>
  </si>
  <si>
    <t>2025-09-27 09:25:59</t>
  </si>
  <si>
    <t>2025-09-27 08:34:21</t>
  </si>
  <si>
    <t>2025-09-28 11:52:43</t>
  </si>
  <si>
    <t>2025-09-28 11:35:42</t>
  </si>
  <si>
    <t>2025-09-29 08:22:27</t>
  </si>
  <si>
    <t>2025-09-29 08:06:23</t>
  </si>
  <si>
    <t>Alter</t>
  </si>
  <si>
    <t>Abschluss</t>
  </si>
  <si>
    <t>Vorwissen_tech</t>
  </si>
  <si>
    <t>Vorwissen_fach</t>
  </si>
  <si>
    <t>EQ CF</t>
  </si>
  <si>
    <t>EQ NN</t>
  </si>
  <si>
    <t>EQ Anchor</t>
  </si>
  <si>
    <t>EQ Lime</t>
  </si>
  <si>
    <t>EQ Shap</t>
  </si>
  <si>
    <t>EQ DT</t>
  </si>
  <si>
    <t>arthm. Mittel</t>
  </si>
  <si>
    <t>Standardabweichung</t>
  </si>
  <si>
    <t>Max</t>
  </si>
  <si>
    <t>Min</t>
  </si>
  <si>
    <t>Median</t>
  </si>
  <si>
    <t>Q1</t>
  </si>
  <si>
    <t>Q3</t>
  </si>
  <si>
    <t>Rang</t>
  </si>
  <si>
    <t>mittlerer Rang</t>
  </si>
  <si>
    <t>n</t>
  </si>
  <si>
    <t>Abschluss1v2</t>
  </si>
  <si>
    <t>Abschluss1v3</t>
  </si>
  <si>
    <t>Abschluss1v4</t>
  </si>
  <si>
    <t>Abschluss1v5</t>
  </si>
  <si>
    <t>Vorwissen_tech0v1</t>
  </si>
  <si>
    <t>Vorwissen_tech0v2</t>
  </si>
  <si>
    <t>Vorwissen_fach0v1</t>
  </si>
  <si>
    <t>Vorwissen_fach0v2</t>
  </si>
  <si>
    <t>Vorwissen_fachGes</t>
  </si>
  <si>
    <t>Vorwissen_techGes</t>
  </si>
  <si>
    <t>Darstellung Anchor</t>
  </si>
  <si>
    <t>Darstellung DT</t>
  </si>
  <si>
    <t>Darstellung LIME</t>
  </si>
  <si>
    <t>Darstellung CF</t>
  </si>
  <si>
    <t>Darstellung SHAP</t>
  </si>
  <si>
    <t>Darstellung 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</si>
</sst>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2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7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D94CFA-A366-42F4-99C6-094D67BDFE09}" name="Tabelle1" displayName="Tabelle1" ref="A1:CF62" totalsRowCount="1">
  <autoFilter ref="A1:CF61" xr:uid="{5DD94CFA-A366-42F4-99C6-094D67BDFE09}"/>
  <tableColumns count="84">
    <tableColumn id="1" xr3:uid="{3086CE30-26C2-49A3-A40C-1F631135B925}" name="id"/>
    <tableColumn id="2" xr3:uid="{F215B238-654B-48F9-8DB8-79974A9B66EB}" name="submitdate"/>
    <tableColumn id="3" xr3:uid="{1B4CEB35-D5C0-4BCF-8EF4-A71195B8B021}" name="lastpage"/>
    <tableColumn id="4" xr3:uid="{5A977864-5FD5-4CFF-8605-5976056837E3}" name="startlanguage"/>
    <tableColumn id="5" xr3:uid="{AE46761E-ED8D-4822-B500-1C359F2EDCC3}" name="seed"/>
    <tableColumn id="6" xr3:uid="{4576CF4A-EFCB-4783-8CFF-C1F4F19D3D7E}" name="startdate"/>
    <tableColumn id="7" xr3:uid="{E431FE52-E657-4F15-933D-F0B8F760EE36}" name="datestamp"/>
    <tableColumn id="8" xr3:uid="{EB43224E-9E72-49DD-94AE-6F542B38153B}" name="CF[EQ01]" totalsRowFunction="custom" totalsRowDxfId="64">
      <totalsRowFormula>AVERAGE(Tabelle1[CF'[EQ01']])</totalsRowFormula>
    </tableColumn>
    <tableColumn id="9" xr3:uid="{ADECCFC1-EAE1-455A-A3A4-07E094904BBD}" name="CF[EQ02]" totalsRowFunction="custom" totalsRowDxfId="63">
      <totalsRowFormula>AVERAGE(Tabelle1[CF'[EQ02']])</totalsRowFormula>
    </tableColumn>
    <tableColumn id="10" xr3:uid="{72A72C96-DC80-4EE1-99C4-11CAF80C92CE}" name="CF[EQ03]" totalsRowFunction="custom" totalsRowDxfId="62">
      <totalsRowFormula>AVERAGE(Tabelle1[CF'[EQ03']])</totalsRowFormula>
    </tableColumn>
    <tableColumn id="11" xr3:uid="{9C6C4DDF-07C0-4D90-8C02-E728D6E2C10F}" name="CF[EQ04]" totalsRowFunction="custom" totalsRowDxfId="61">
      <totalsRowFormula>AVERAGE(Tabelle1[CF'[EQ04']])</totalsRowFormula>
    </tableColumn>
    <tableColumn id="12" xr3:uid="{8575DBAF-2D3F-4994-A5F5-3D0C12295AB9}" name="CF[EQ05]" totalsRowFunction="custom" totalsRowDxfId="60">
      <totalsRowFormula>AVERAGE(Tabelle1[CF'[EQ05']])</totalsRowFormula>
    </tableColumn>
    <tableColumn id="13" xr3:uid="{0242E263-0B9D-4FD1-B0CC-95EE549DBB45}" name="CF[EQ06]" totalsRowFunction="custom" totalsRowDxfId="59">
      <totalsRowFormula>AVERAGE(Tabelle1[CF'[EQ06']])</totalsRowFormula>
    </tableColumn>
    <tableColumn id="14" xr3:uid="{628FD922-DFD7-4DA8-ACC6-4C7DF85840FB}" name="CF[EQ07]" totalsRowFunction="custom" totalsRowDxfId="58">
      <totalsRowFormula>AVERAGE(Tabelle1[CF'[EQ07']])</totalsRowFormula>
    </tableColumn>
    <tableColumn id="15" xr3:uid="{83F057FC-EB0F-4751-9138-EB0F29BCC4C2}" name="CF[EQ08]" totalsRowFunction="custom" totalsRowDxfId="57">
      <totalsRowFormula>AVERAGE(Tabelle1[CF'[EQ08']])</totalsRowFormula>
    </tableColumn>
    <tableColumn id="16" xr3:uid="{BFE65D72-DAB4-4A43-A3CC-06233F73D49B}" name="NN[EQ01]" totalsRowFunction="custom" totalsRowDxfId="56">
      <totalsRowFormula>AVERAGE(Tabelle1[NN'[EQ01']])</totalsRowFormula>
    </tableColumn>
    <tableColumn id="17" xr3:uid="{E133A486-0B2D-4326-ADDA-58D7159A1797}" name="NN[EQ02]" totalsRowFunction="custom" totalsRowDxfId="55">
      <totalsRowFormula>AVERAGE(Tabelle1[NN'[EQ02']])</totalsRowFormula>
    </tableColumn>
    <tableColumn id="18" xr3:uid="{D96A9828-D293-45A9-B032-C2ECF0EAC98E}" name="NN[EQ03]" totalsRowFunction="custom" totalsRowDxfId="54">
      <totalsRowFormula>AVERAGE(Tabelle1[NN'[EQ03']])</totalsRowFormula>
    </tableColumn>
    <tableColumn id="19" xr3:uid="{383D8196-3383-41C2-869C-0E912C4B1193}" name="NN[EQ04]" totalsRowFunction="custom" totalsRowDxfId="53">
      <totalsRowFormula>AVERAGE(Tabelle1[NN'[EQ04']])</totalsRowFormula>
    </tableColumn>
    <tableColumn id="20" xr3:uid="{E3960103-4CBF-4B56-9A97-B03F20DB5DB6}" name="NN[EQ05]" totalsRowFunction="custom" totalsRowDxfId="52">
      <totalsRowFormula>AVERAGE(Tabelle1[NN'[EQ05']])</totalsRowFormula>
    </tableColumn>
    <tableColumn id="21" xr3:uid="{D70024ED-73C6-4D72-89DE-014E0EC56285}" name="NN[EQ06]" totalsRowFunction="custom" totalsRowDxfId="51">
      <totalsRowFormula>AVERAGE(Tabelle1[NN'[EQ06']])</totalsRowFormula>
    </tableColumn>
    <tableColumn id="22" xr3:uid="{852BA0AF-7CC5-4C28-8E78-FC163054D09C}" name="NN[EQ07]" totalsRowFunction="custom" totalsRowDxfId="50">
      <totalsRowFormula>AVERAGE(Tabelle1[NN'[EQ07']])</totalsRowFormula>
    </tableColumn>
    <tableColumn id="23" xr3:uid="{24A55DBC-A742-40CD-8EA8-D47F39C5036F}" name="NN[EQ08]" totalsRowFunction="custom" totalsRowDxfId="49">
      <totalsRowFormula>AVERAGE(Tabelle1[NN'[EQ08']])</totalsRowFormula>
    </tableColumn>
    <tableColumn id="24" xr3:uid="{839C5C66-85F2-46B1-8CAC-6CD270542850}" name="Anchor[EQ01]" totalsRowFunction="custom" totalsRowDxfId="48">
      <totalsRowFormula>AVERAGE(Tabelle1[Anchor'[EQ01']])</totalsRowFormula>
    </tableColumn>
    <tableColumn id="25" xr3:uid="{64D68787-3CC4-4F64-A23E-A35F90591FEA}" name="Anchor[EQ02]" totalsRowFunction="custom" totalsRowDxfId="47">
      <totalsRowFormula>AVERAGE(Tabelle1[Anchor'[EQ02']])</totalsRowFormula>
    </tableColumn>
    <tableColumn id="26" xr3:uid="{013E0FCA-9830-4220-AD90-579B5CB2339E}" name="Anchor[EQ03]" totalsRowFunction="custom" totalsRowDxfId="46">
      <totalsRowFormula>AVERAGE(Tabelle1[Anchor'[EQ03']])</totalsRowFormula>
    </tableColumn>
    <tableColumn id="27" xr3:uid="{3E958E06-23D6-43A9-BE77-0EB872637226}" name="Anchor[EQ04]" totalsRowFunction="custom" totalsRowDxfId="45">
      <totalsRowFormula>AVERAGE(Tabelle1[Anchor'[EQ04']])</totalsRowFormula>
    </tableColumn>
    <tableColumn id="28" xr3:uid="{EC7B9475-6C51-4542-A30F-6F30D46F550A}" name="Anchor[EQ05]" totalsRowFunction="custom" totalsRowDxfId="44">
      <totalsRowFormula>AVERAGE(Tabelle1[Anchor'[EQ05']])</totalsRowFormula>
    </tableColumn>
    <tableColumn id="29" xr3:uid="{D20E805D-9E66-41DD-B50F-0DDA12AFCE60}" name="Anchor[EQ06]" totalsRowFunction="custom" totalsRowDxfId="43">
      <totalsRowFormula>AVERAGE(Tabelle1[Anchor'[EQ06']])</totalsRowFormula>
    </tableColumn>
    <tableColumn id="30" xr3:uid="{73F00E25-DB47-4F39-9284-91E570F7BAAE}" name="Anchor[EQ07]" totalsRowFunction="custom" totalsRowDxfId="42">
      <totalsRowFormula>AVERAGE(Tabelle1[Anchor'[EQ07']])</totalsRowFormula>
    </tableColumn>
    <tableColumn id="31" xr3:uid="{954C8CD8-0217-4C23-B169-B158753166DE}" name="Anchor[EQ08]" totalsRowFunction="custom" totalsRowDxfId="41">
      <totalsRowFormula>AVERAGE(Tabelle1[Anchor'[EQ08']])</totalsRowFormula>
    </tableColumn>
    <tableColumn id="32" xr3:uid="{1017C284-BEDA-443A-AAD6-F94454ABE8B4}" name="LIME[EQ01]" totalsRowFunction="custom" totalsRowDxfId="40">
      <totalsRowFormula>AVERAGE(Tabelle1[LIME'[EQ01']])</totalsRowFormula>
    </tableColumn>
    <tableColumn id="33" xr3:uid="{B19C49EE-D654-4961-B140-077EF5F2ED7B}" name="LIME[EQ02]" totalsRowFunction="custom" totalsRowDxfId="39">
      <totalsRowFormula>AVERAGE(Tabelle1[LIME'[EQ02']])</totalsRowFormula>
    </tableColumn>
    <tableColumn id="34" xr3:uid="{86FAB468-933A-4F3D-9495-14E8F801F81A}" name="LIME[EQ03]" totalsRowFunction="custom" totalsRowDxfId="38">
      <totalsRowFormula>AVERAGE(Tabelle1[LIME'[EQ03']])</totalsRowFormula>
    </tableColumn>
    <tableColumn id="35" xr3:uid="{EDCE4C13-EB6F-4297-B7C5-D9C72386BE50}" name="LIME[EQ04]" totalsRowFunction="custom" totalsRowDxfId="37">
      <totalsRowFormula>AVERAGE(Tabelle1[LIME'[EQ04']])</totalsRowFormula>
    </tableColumn>
    <tableColumn id="36" xr3:uid="{CF7FB913-96BA-4C2F-8F54-E1E9C702D3EB}" name="LIME[EQ05]" totalsRowFunction="custom" totalsRowDxfId="36">
      <totalsRowFormula>AVERAGE(Tabelle1[LIME'[EQ05']])</totalsRowFormula>
    </tableColumn>
    <tableColumn id="37" xr3:uid="{0610D755-FC3E-4A6B-923F-B76DFC5EA81D}" name="LIME[EQ06]" totalsRowFunction="custom" totalsRowDxfId="35">
      <totalsRowFormula>AVERAGE(Tabelle1[LIME'[EQ06']])</totalsRowFormula>
    </tableColumn>
    <tableColumn id="38" xr3:uid="{33CB1F0A-C4B0-44A9-A268-B3BDA48F1BB1}" name="LIME[EQ07]" totalsRowFunction="custom" totalsRowDxfId="34">
      <totalsRowFormula>AVERAGE(Tabelle1[LIME'[EQ07']])</totalsRowFormula>
    </tableColumn>
    <tableColumn id="39" xr3:uid="{A0C4C1F0-CCDD-4798-8729-C36D9EE6B904}" name="LIME[EQ08]" totalsRowFunction="custom" totalsRowDxfId="33">
      <totalsRowFormula>AVERAGE(Tabelle1[LIME'[EQ08']])</totalsRowFormula>
    </tableColumn>
    <tableColumn id="40" xr3:uid="{50A63969-5C13-4636-84E5-08B1D1F12914}" name="SHAP[EQ01]" totalsRowFunction="custom" totalsRowDxfId="32">
      <totalsRowFormula>AVERAGE(Tabelle1[SHAP'[EQ01']])</totalsRowFormula>
    </tableColumn>
    <tableColumn id="41" xr3:uid="{8BF8B675-3333-4DEB-A095-988409CDFBF5}" name="SHAP[EQ02]" totalsRowFunction="custom" totalsRowDxfId="31">
      <totalsRowFormula>AVERAGE(Tabelle1[SHAP'[EQ02']])</totalsRowFormula>
    </tableColumn>
    <tableColumn id="42" xr3:uid="{B7F14C1F-3E3D-4A0D-B08E-D29159AAE2EB}" name="SHAP[EQ03]" totalsRowFunction="custom" totalsRowDxfId="30">
      <totalsRowFormula>AVERAGE(Tabelle1[SHAP'[EQ03']])</totalsRowFormula>
    </tableColumn>
    <tableColumn id="43" xr3:uid="{9685AD79-0B69-4956-97C5-74FEE17DD945}" name="SHAP[EQ04]" totalsRowFunction="custom" totalsRowDxfId="29">
      <totalsRowFormula>AVERAGE(Tabelle1[SHAP'[EQ04']])</totalsRowFormula>
    </tableColumn>
    <tableColumn id="44" xr3:uid="{AAAA493F-86A9-49BA-95CB-EEFADD2CB3DC}" name="SHAP[EQ05]" totalsRowFunction="custom" totalsRowDxfId="28">
      <totalsRowFormula>AVERAGE(Tabelle1[SHAP'[EQ05']])</totalsRowFormula>
    </tableColumn>
    <tableColumn id="45" xr3:uid="{EC0C2A50-94BE-4BCB-9766-293E1822E2AC}" name="SHAP[EQ06]" totalsRowFunction="custom" totalsRowDxfId="27">
      <totalsRowFormula>AVERAGE(Tabelle1[SHAP'[EQ06']])</totalsRowFormula>
    </tableColumn>
    <tableColumn id="46" xr3:uid="{05A36B6D-4E67-40C3-9258-928600693D80}" name="SHAP[EQ07]" totalsRowFunction="custom" totalsRowDxfId="26">
      <totalsRowFormula>AVERAGE(Tabelle1[SHAP'[EQ07']])</totalsRowFormula>
    </tableColumn>
    <tableColumn id="47" xr3:uid="{815A955F-05E6-4B5D-A605-E299D59567AC}" name="SHAP[EQ08]" totalsRowFunction="custom" totalsRowDxfId="25">
      <totalsRowFormula>AVERAGE(Tabelle1[SHAP'[EQ08']])</totalsRowFormula>
    </tableColumn>
    <tableColumn id="48" xr3:uid="{1E9543D2-EBD5-4F3A-883D-10785F6389B9}" name="DT[EQ01]" totalsRowFunction="custom" totalsRowDxfId="24">
      <totalsRowFormula>AVERAGE(Tabelle1[DT'[EQ01']])</totalsRowFormula>
    </tableColumn>
    <tableColumn id="49" xr3:uid="{57D64781-FDB1-45FF-9F55-388151BFCD14}" name="DT[EQ02]" totalsRowFunction="custom" totalsRowDxfId="23">
      <totalsRowFormula>AVERAGE(Tabelle1[DT'[EQ02']])</totalsRowFormula>
    </tableColumn>
    <tableColumn id="50" xr3:uid="{FC2F264D-2324-449C-9695-752F0C25401C}" name="DT[EQ03]" totalsRowFunction="custom" totalsRowDxfId="22">
      <totalsRowFormula>AVERAGE(Tabelle1[DT'[EQ03']])</totalsRowFormula>
    </tableColumn>
    <tableColumn id="51" xr3:uid="{3827AC33-8231-4F92-9522-CE430F20FB00}" name="DT[EQ04]" totalsRowFunction="custom" totalsRowDxfId="21">
      <totalsRowFormula>AVERAGE(Tabelle1[DT'[EQ04']])</totalsRowFormula>
    </tableColumn>
    <tableColumn id="52" xr3:uid="{24C59CF3-BECB-4005-9218-64248F8EF619}" name="DT[EQ05]" totalsRowFunction="custom" totalsRowDxfId="20">
      <totalsRowFormula>AVERAGE(Tabelle1[DT'[EQ05']])</totalsRowFormula>
    </tableColumn>
    <tableColumn id="53" xr3:uid="{8C62385B-BB3A-4647-8691-37F9FADC3548}" name="DT[EQ06]" totalsRowFunction="custom" totalsRowDxfId="19">
      <totalsRowFormula>AVERAGE(Tabelle1[DT'[EQ06']])</totalsRowFormula>
    </tableColumn>
    <tableColumn id="54" xr3:uid="{490D9C4F-46AA-4316-A9DB-EC61FB20EED9}" name="DT[EQ07]" totalsRowFunction="custom" totalsRowDxfId="18">
      <totalsRowFormula>AVERAGE(Tabelle1[DT'[EQ07']])</totalsRowFormula>
    </tableColumn>
    <tableColumn id="55" xr3:uid="{F3A73E18-8E1A-490D-9B5B-5D12167224F0}" name="DT[EQ08]" totalsRowFunction="custom" totalsRowDxfId="17">
      <totalsRowFormula>AVERAGE(Tabelle1[DT'[EQ08']])</totalsRowFormula>
    </tableColumn>
    <tableColumn id="56" xr3:uid="{9825647E-EC30-4692-A6F7-6C31639DF74E}" name="Rang[1]" totalsRowDxfId="16"/>
    <tableColumn id="57" xr3:uid="{8F0E17E0-C6A7-4B30-97BE-9CD8CC88856A}" name="Rang[2]" totalsRowDxfId="15"/>
    <tableColumn id="58" xr3:uid="{DC318EA6-FE70-48C8-B0A5-F850FF36063E}" name="Rang[3]" totalsRowDxfId="14"/>
    <tableColumn id="59" xr3:uid="{4965DF7C-7962-49C8-A6E1-2B282E03BF77}" name="Rang[4]" totalsRowDxfId="13"/>
    <tableColumn id="60" xr3:uid="{EC4C3AFF-806C-4446-AEDB-64E5CBD908AB}" name="Rang[5]" totalsRowDxfId="12"/>
    <tableColumn id="61" xr3:uid="{CFE98BF3-2789-44E0-8D30-1FADAF14523A}" name="Rang[6]" totalsRowDxfId="11"/>
    <tableColumn id="62" xr3:uid="{B486816A-EA0B-46DD-9CB5-609509C70DEE}" name="Alter" totalsRowFunction="average" totalsRowDxfId="10"/>
    <tableColumn id="78" xr3:uid="{31D6A6F2-7C21-4C76-A7E6-8FBA20458CEF}" name="Abschluss" totalsRowDxfId="9"/>
    <tableColumn id="63" xr3:uid="{7DE31937-6214-4066-B34B-C93DA7030124}" name="Abschluss1v2" totalsRowFunction="sum" dataDxfId="73">
      <calculatedColumnFormula>IF(Tabelle1[[#This Row],[Abschluss]]=2,1,0)</calculatedColumnFormula>
    </tableColumn>
    <tableColumn id="77" xr3:uid="{49534E7D-2506-4C9E-B821-816740BC4FF7}" name="Abschluss1v3" totalsRowFunction="sum" dataDxfId="72">
      <calculatedColumnFormula>IF(Tabelle1[[#This Row],[Abschluss]]=3,1,0)</calculatedColumnFormula>
    </tableColumn>
    <tableColumn id="76" xr3:uid="{7D12F4DD-E5A6-4FC0-97F3-2CCD596AE1F7}" name="Abschluss1v4" totalsRowFunction="sum" dataDxfId="71">
      <calculatedColumnFormula>IF(Tabelle1[[#This Row],[Abschluss]]=4,1,0)</calculatedColumnFormula>
    </tableColumn>
    <tableColumn id="75" xr3:uid="{EA9AC292-565B-4BB6-ADC8-9351471EC743}" name="Abschluss1v5" totalsRowFunction="sum" dataDxfId="70">
      <calculatedColumnFormula>IF(Tabelle1[[#This Row],[Abschluss]]=5,1,0)</calculatedColumnFormula>
    </tableColumn>
    <tableColumn id="64" xr3:uid="{1B37A2EE-4B89-40DC-854F-2C1815B58832}" name="Vorwissen_tech" totalsRowFunction="sum"/>
    <tableColumn id="82" xr3:uid="{03DDA737-2B1F-4736-8CF0-C425EE3DA4A6}" name="Vorwissen_tech0v1" totalsRowFunction="sum" dataDxfId="69">
      <calculatedColumnFormula>IF(Tabelle1[[#This Row],[Vorwissen_tech]]=1,1,0)</calculatedColumnFormula>
    </tableColumn>
    <tableColumn id="81" xr3:uid="{322D6B92-B949-471F-9729-B80284C6B00B}" name="Vorwissen_tech0v2" totalsRowFunction="sum" dataDxfId="68">
      <calculatedColumnFormula>IF(Tabelle1[[#This Row],[Vorwissen_tech]]=2,1,0)</calculatedColumnFormula>
    </tableColumn>
    <tableColumn id="65" xr3:uid="{CA108EE9-81E4-47DD-84A8-BC5E2C58AC3E}" name="Vorwissen_fach" totalsRowFunction="sum"/>
    <tableColumn id="84" xr3:uid="{31915ADF-55CE-41E2-95EE-4EA3C959A1A8}" name="Vorwissen_fach0v1" totalsRowFunction="sum" dataDxfId="67">
      <calculatedColumnFormula>IF(Tabelle1[[#This Row],[Vorwissen_fach]]=1,1,0)</calculatedColumnFormula>
    </tableColumn>
    <tableColumn id="83" xr3:uid="{602F1471-FE0D-4A03-A8D5-DB23F834115E}" name="Vorwissen_fach0v2" totalsRowFunction="sum" dataDxfId="66">
      <calculatedColumnFormula>IF(Tabelle1[[#This Row],[Vorwissen_fach]]=2,1,0)</calculatedColumnFormula>
    </tableColumn>
    <tableColumn id="79" xr3:uid="{6A32DCF7-15C3-4049-99D2-5B5311FEEBAC}" name="Vorwissen_techGes" dataDxfId="65">
      <calculatedColumnFormula>IF(Tabelle1[[#This Row],[Vorwissen_tech]]=2,1,0)</calculatedColumnFormula>
    </tableColumn>
    <tableColumn id="80" xr3:uid="{3B86BFB8-5DDB-4AB2-8588-A5A31469107A}" name="Vorwissen_fachGes"/>
    <tableColumn id="66" xr3:uid="{FB9730A5-6BE1-4287-AF66-FE339DB8F907}" name="interviewtime" totalsRowFunction="average" totalsRowDxfId="8"/>
    <tableColumn id="67" xr3:uid="{676C7506-6F83-4758-BBF8-E998D4F2EE31}" name="CFTime" totalsRowFunction="stdDev" totalsRowDxfId="7"/>
    <tableColumn id="68" xr3:uid="{F8413D01-2915-43CC-B74E-8240B478EEA6}" name="NNTime" totalsRowFunction="stdDev" totalsRowDxfId="6"/>
    <tableColumn id="69" xr3:uid="{7817BC36-7491-4918-BFD0-690BBB66E69A}" name="AnchorTime" totalsRowFunction="stdDev" totalsRowDxfId="5"/>
    <tableColumn id="70" xr3:uid="{5584279A-0CCF-4F57-B9BC-DFA158F0FB53}" name="LIMETime" totalsRowFunction="stdDev" totalsRowDxfId="4"/>
    <tableColumn id="71" xr3:uid="{D19D88C2-C00C-4C07-AEB6-DD9C94190160}" name="SHAPTime" totalsRowFunction="stdDev" totalsRowDxfId="3"/>
    <tableColumn id="72" xr3:uid="{56F80D0C-FE49-4C9F-B08E-E5358649CA31}" name="DTTime" totalsRowFunction="stdDev" totalsRowDxfId="2"/>
    <tableColumn id="73" xr3:uid="{E836800A-1423-49AD-987F-A55DE319711B}" name="RangTime" totalsRowFunction="stdDev" totalsRowDxfId="1"/>
    <tableColumn id="74" xr3:uid="{C3D5C955-0519-4E82-8179-9237B8104012}" name="KV1Time" totalsRowFunction="stdDev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2"/>
  <sheetViews>
    <sheetView tabSelected="1" topLeftCell="BU46" zoomScaleNormal="100" workbookViewId="0">
      <selection activeCell="BY62" sqref="BY62:CF62"/>
    </sheetView>
  </sheetViews>
  <sheetFormatPr baseColWidth="10" defaultRowHeight="12.75" x14ac:dyDescent="0.2"/>
  <cols>
    <col min="1" max="1" width="5" bestFit="1" customWidth="1"/>
    <col min="2" max="2" width="18" bestFit="1" customWidth="1"/>
    <col min="3" max="3" width="11" bestFit="1" customWidth="1"/>
    <col min="4" max="4" width="15.7109375" bestFit="1" customWidth="1"/>
    <col min="5" max="5" width="11" bestFit="1" customWidth="1"/>
    <col min="6" max="7" width="18" bestFit="1" customWidth="1"/>
    <col min="8" max="15" width="11.5703125" bestFit="1" customWidth="1"/>
    <col min="16" max="23" width="11.7109375" bestFit="1" customWidth="1"/>
    <col min="24" max="31" width="15.5703125" bestFit="1" customWidth="1"/>
    <col min="32" max="39" width="13.5703125" bestFit="1" customWidth="1"/>
    <col min="40" max="47" width="14.28515625" bestFit="1" customWidth="1"/>
    <col min="48" max="55" width="11.5703125" bestFit="1" customWidth="1"/>
    <col min="56" max="61" width="12.140625" bestFit="1" customWidth="1"/>
    <col min="62" max="62" width="10.5703125" bestFit="1" customWidth="1"/>
    <col min="63" max="63" width="12.140625" bestFit="1" customWidth="1"/>
    <col min="64" max="64" width="29.42578125" bestFit="1" customWidth="1"/>
    <col min="65" max="67" width="29.42578125" customWidth="1"/>
    <col min="68" max="68" width="17.42578125" bestFit="1" customWidth="1"/>
    <col min="69" max="70" width="20.5703125" bestFit="1" customWidth="1"/>
    <col min="71" max="71" width="17.42578125" bestFit="1" customWidth="1"/>
    <col min="72" max="73" width="20.5703125" bestFit="1" customWidth="1"/>
    <col min="74" max="74" width="21" bestFit="1" customWidth="1"/>
    <col min="75" max="76" width="20.5703125" customWidth="1"/>
    <col min="77" max="77" width="15.7109375" bestFit="1" customWidth="1"/>
    <col min="78" max="78" width="10.28515625" bestFit="1" customWidth="1"/>
    <col min="79" max="79" width="10.42578125" bestFit="1" customWidth="1"/>
    <col min="80" max="80" width="14.28515625" bestFit="1" customWidth="1"/>
    <col min="81" max="81" width="12.28515625" bestFit="1" customWidth="1"/>
    <col min="82" max="82" width="13" bestFit="1" customWidth="1"/>
    <col min="83" max="83" width="10.28515625" bestFit="1" customWidth="1"/>
    <col min="84" max="84" width="12.5703125" bestFit="1" customWidth="1"/>
  </cols>
  <sheetData>
    <row r="1" spans="1:8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197</v>
      </c>
      <c r="BK1" t="s">
        <v>198</v>
      </c>
      <c r="BL1" t="s">
        <v>217</v>
      </c>
      <c r="BM1" t="s">
        <v>218</v>
      </c>
      <c r="BN1" t="s">
        <v>219</v>
      </c>
      <c r="BO1" t="s">
        <v>220</v>
      </c>
      <c r="BP1" t="s">
        <v>199</v>
      </c>
      <c r="BQ1" t="s">
        <v>221</v>
      </c>
      <c r="BR1" t="s">
        <v>222</v>
      </c>
      <c r="BS1" t="s">
        <v>200</v>
      </c>
      <c r="BT1" t="s">
        <v>223</v>
      </c>
      <c r="BU1" t="s">
        <v>224</v>
      </c>
      <c r="BV1" t="s">
        <v>226</v>
      </c>
      <c r="BW1" t="s">
        <v>225</v>
      </c>
      <c r="BX1" t="s">
        <v>61</v>
      </c>
      <c r="BY1" t="s">
        <v>62</v>
      </c>
      <c r="BZ1" t="s">
        <v>63</v>
      </c>
      <c r="CA1" t="s">
        <v>64</v>
      </c>
      <c r="CB1" t="s">
        <v>65</v>
      </c>
      <c r="CC1" t="s">
        <v>66</v>
      </c>
      <c r="CD1" t="s">
        <v>67</v>
      </c>
      <c r="CE1" t="s">
        <v>68</v>
      </c>
      <c r="CF1" t="s">
        <v>69</v>
      </c>
    </row>
    <row r="2" spans="1:84" x14ac:dyDescent="0.2">
      <c r="A2">
        <v>10</v>
      </c>
      <c r="B2" t="s">
        <v>70</v>
      </c>
      <c r="C2">
        <v>8</v>
      </c>
      <c r="D2" t="s">
        <v>71</v>
      </c>
      <c r="E2">
        <v>1430164265</v>
      </c>
      <c r="F2" t="s">
        <v>72</v>
      </c>
      <c r="G2" t="s">
        <v>70</v>
      </c>
      <c r="H2">
        <v>3</v>
      </c>
      <c r="I2">
        <v>4</v>
      </c>
      <c r="J2">
        <v>4</v>
      </c>
      <c r="K2">
        <v>5</v>
      </c>
      <c r="L2">
        <v>6</v>
      </c>
      <c r="M2">
        <v>7</v>
      </c>
      <c r="N2">
        <v>5</v>
      </c>
      <c r="O2">
        <v>4</v>
      </c>
      <c r="P2">
        <v>6</v>
      </c>
      <c r="Q2">
        <v>6</v>
      </c>
      <c r="R2">
        <v>4</v>
      </c>
      <c r="S2">
        <v>5</v>
      </c>
      <c r="T2">
        <v>6</v>
      </c>
      <c r="U2">
        <v>7</v>
      </c>
      <c r="V2">
        <v>7</v>
      </c>
      <c r="W2">
        <v>5</v>
      </c>
      <c r="X2">
        <v>4</v>
      </c>
      <c r="Y2">
        <v>5</v>
      </c>
      <c r="Z2">
        <v>3</v>
      </c>
      <c r="AA2">
        <v>4</v>
      </c>
      <c r="AB2">
        <v>5</v>
      </c>
      <c r="AC2">
        <v>7</v>
      </c>
      <c r="AD2">
        <v>4</v>
      </c>
      <c r="AE2">
        <v>2</v>
      </c>
      <c r="AF2">
        <v>6</v>
      </c>
      <c r="AG2">
        <v>6</v>
      </c>
      <c r="AH2">
        <v>6</v>
      </c>
      <c r="AI2">
        <v>6</v>
      </c>
      <c r="AJ2">
        <v>7</v>
      </c>
      <c r="AK2">
        <v>7</v>
      </c>
      <c r="AL2">
        <v>7</v>
      </c>
      <c r="AM2">
        <v>5</v>
      </c>
      <c r="AN2">
        <v>2</v>
      </c>
      <c r="AO2">
        <v>1</v>
      </c>
      <c r="AP2">
        <v>2</v>
      </c>
      <c r="AQ2">
        <v>2</v>
      </c>
      <c r="AR2">
        <v>2</v>
      </c>
      <c r="AS2">
        <v>7</v>
      </c>
      <c r="AT2">
        <v>1</v>
      </c>
      <c r="AU2">
        <v>1</v>
      </c>
      <c r="AV2">
        <v>7</v>
      </c>
      <c r="AW2">
        <v>7</v>
      </c>
      <c r="AX2">
        <v>7</v>
      </c>
      <c r="AY2">
        <v>7</v>
      </c>
      <c r="AZ2">
        <v>7</v>
      </c>
      <c r="BA2">
        <v>7</v>
      </c>
      <c r="BB2">
        <v>7</v>
      </c>
      <c r="BC2">
        <v>7</v>
      </c>
      <c r="BD2" t="s">
        <v>73</v>
      </c>
      <c r="BE2" t="s">
        <v>74</v>
      </c>
      <c r="BF2" t="s">
        <v>75</v>
      </c>
      <c r="BG2" t="s">
        <v>76</v>
      </c>
      <c r="BH2" t="s">
        <v>77</v>
      </c>
      <c r="BI2" t="s">
        <v>78</v>
      </c>
      <c r="BJ2">
        <v>35</v>
      </c>
      <c r="BK2">
        <v>3</v>
      </c>
      <c r="BL2">
        <f>IF(Tabelle1[[#This Row],[Abschluss]]=2,1,0)</f>
        <v>0</v>
      </c>
      <c r="BM2">
        <f>IF(Tabelle1[[#This Row],[Abschluss]]=3,1,0)</f>
        <v>1</v>
      </c>
      <c r="BN2">
        <f>IF(Tabelle1[[#This Row],[Abschluss]]=4,1,0)</f>
        <v>0</v>
      </c>
      <c r="BO2">
        <f>IF(Tabelle1[[#This Row],[Abschluss]]=5,1,0)</f>
        <v>0</v>
      </c>
      <c r="BP2">
        <v>1</v>
      </c>
      <c r="BQ2">
        <f>IF(Tabelle1[[#This Row],[Vorwissen_tech]]=1,1,0)</f>
        <v>1</v>
      </c>
      <c r="BR2">
        <f>IF(Tabelle1[[#This Row],[Vorwissen_tech]]=2,1,0)</f>
        <v>0</v>
      </c>
      <c r="BS2">
        <v>1</v>
      </c>
      <c r="BT2">
        <f>IF(Tabelle1[[#This Row],[Vorwissen_fach]]=1,1,0)</f>
        <v>1</v>
      </c>
      <c r="BU2">
        <f>IF(Tabelle1[[#This Row],[Vorwissen_fach]]=2,1,0)</f>
        <v>0</v>
      </c>
      <c r="BV2">
        <f>IF(Tabelle1[[#This Row],[Vorwissen_tech]]=2,1,0)</f>
        <v>0</v>
      </c>
      <c r="BX2">
        <v>714.93</v>
      </c>
      <c r="BY2">
        <v>98.76</v>
      </c>
      <c r="BZ2">
        <v>80.98</v>
      </c>
      <c r="CA2">
        <v>150.93</v>
      </c>
      <c r="CB2">
        <v>140.26</v>
      </c>
      <c r="CC2">
        <v>72.150000000000006</v>
      </c>
      <c r="CD2">
        <v>110.16</v>
      </c>
      <c r="CE2">
        <v>48.42</v>
      </c>
      <c r="CF2">
        <v>13.27</v>
      </c>
    </row>
    <row r="3" spans="1:84" x14ac:dyDescent="0.2">
      <c r="A3">
        <v>13</v>
      </c>
      <c r="B3" t="s">
        <v>79</v>
      </c>
      <c r="C3">
        <v>8</v>
      </c>
      <c r="D3" t="s">
        <v>71</v>
      </c>
      <c r="E3">
        <v>1946535822</v>
      </c>
      <c r="F3" t="s">
        <v>80</v>
      </c>
      <c r="G3" t="s">
        <v>79</v>
      </c>
      <c r="H3">
        <v>6</v>
      </c>
      <c r="I3">
        <v>5</v>
      </c>
      <c r="J3">
        <v>2</v>
      </c>
      <c r="K3">
        <v>3</v>
      </c>
      <c r="L3">
        <v>5</v>
      </c>
      <c r="M3">
        <v>5</v>
      </c>
      <c r="N3">
        <v>2</v>
      </c>
      <c r="O3">
        <v>3</v>
      </c>
      <c r="P3">
        <v>6</v>
      </c>
      <c r="Q3">
        <v>6</v>
      </c>
      <c r="R3">
        <v>3</v>
      </c>
      <c r="S3">
        <v>3</v>
      </c>
      <c r="T3">
        <v>5</v>
      </c>
      <c r="U3">
        <v>2</v>
      </c>
      <c r="V3">
        <v>2</v>
      </c>
      <c r="W3">
        <v>3</v>
      </c>
      <c r="X3">
        <v>6</v>
      </c>
      <c r="Y3">
        <v>7</v>
      </c>
      <c r="Z3">
        <v>6</v>
      </c>
      <c r="AA3">
        <v>6</v>
      </c>
      <c r="AB3">
        <v>7</v>
      </c>
      <c r="AC3">
        <v>7</v>
      </c>
      <c r="AD3">
        <v>7</v>
      </c>
      <c r="AE3">
        <v>7</v>
      </c>
      <c r="AF3">
        <v>6</v>
      </c>
      <c r="AG3">
        <v>2</v>
      </c>
      <c r="AH3">
        <v>1</v>
      </c>
      <c r="AI3">
        <v>4</v>
      </c>
      <c r="AJ3">
        <v>4</v>
      </c>
      <c r="AK3">
        <v>4</v>
      </c>
      <c r="AL3">
        <v>2</v>
      </c>
      <c r="AM3">
        <v>2</v>
      </c>
      <c r="AN3">
        <v>6</v>
      </c>
      <c r="AO3">
        <v>5</v>
      </c>
      <c r="AP3">
        <v>4</v>
      </c>
      <c r="AQ3">
        <v>4</v>
      </c>
      <c r="AR3">
        <v>4</v>
      </c>
      <c r="AS3">
        <v>3</v>
      </c>
      <c r="AT3">
        <v>2</v>
      </c>
      <c r="AU3">
        <v>2</v>
      </c>
      <c r="AV3">
        <v>7</v>
      </c>
      <c r="AW3">
        <v>7</v>
      </c>
      <c r="AX3">
        <v>7</v>
      </c>
      <c r="AY3">
        <v>7</v>
      </c>
      <c r="AZ3">
        <v>7</v>
      </c>
      <c r="BA3">
        <v>7</v>
      </c>
      <c r="BB3">
        <v>7</v>
      </c>
      <c r="BC3">
        <v>7</v>
      </c>
      <c r="BD3" t="s">
        <v>74</v>
      </c>
      <c r="BE3" t="s">
        <v>75</v>
      </c>
      <c r="BF3" t="s">
        <v>77</v>
      </c>
      <c r="BG3" t="s">
        <v>78</v>
      </c>
      <c r="BH3" t="s">
        <v>73</v>
      </c>
      <c r="BI3" t="s">
        <v>76</v>
      </c>
      <c r="BJ3">
        <v>58</v>
      </c>
      <c r="BK3">
        <v>4</v>
      </c>
      <c r="BL3">
        <f>IF(Tabelle1[[#This Row],[Abschluss]]=2,1,0)</f>
        <v>0</v>
      </c>
      <c r="BM3">
        <f>IF(Tabelle1[[#This Row],[Abschluss]]=3,1,0)</f>
        <v>0</v>
      </c>
      <c r="BN3">
        <f>IF(Tabelle1[[#This Row],[Abschluss]]=4,1,0)</f>
        <v>1</v>
      </c>
      <c r="BO3">
        <f>IF(Tabelle1[[#This Row],[Abschluss]]=5,1,0)</f>
        <v>0</v>
      </c>
      <c r="BP3">
        <v>0</v>
      </c>
      <c r="BQ3">
        <f>IF(Tabelle1[[#This Row],[Vorwissen_tech]]=1,1,0)</f>
        <v>0</v>
      </c>
      <c r="BR3">
        <f>IF(Tabelle1[[#This Row],[Vorwissen_tech]]=2,1,0)</f>
        <v>0</v>
      </c>
      <c r="BS3">
        <v>0</v>
      </c>
      <c r="BT3">
        <f>IF(Tabelle1[[#This Row],[Vorwissen_fach]]=1,1,0)</f>
        <v>0</v>
      </c>
      <c r="BU3">
        <f>IF(Tabelle1[[#This Row],[Vorwissen_fach]]=2,1,0)</f>
        <v>0</v>
      </c>
      <c r="BV3">
        <f>IF(Tabelle1[[#This Row],[Vorwissen_tech]]=2,1,0)</f>
        <v>0</v>
      </c>
      <c r="BX3">
        <v>1660.19</v>
      </c>
      <c r="BY3">
        <v>297.56</v>
      </c>
      <c r="BZ3">
        <v>236.21</v>
      </c>
      <c r="CA3">
        <v>154.63</v>
      </c>
      <c r="CB3">
        <v>412</v>
      </c>
      <c r="CC3">
        <v>342.94</v>
      </c>
      <c r="CD3">
        <v>98.32</v>
      </c>
      <c r="CE3">
        <v>100.11</v>
      </c>
      <c r="CF3">
        <v>18.420000000000002</v>
      </c>
    </row>
    <row r="4" spans="1:84" x14ac:dyDescent="0.2">
      <c r="A4">
        <v>16</v>
      </c>
      <c r="B4" t="s">
        <v>81</v>
      </c>
      <c r="C4">
        <v>8</v>
      </c>
      <c r="D4" t="s">
        <v>71</v>
      </c>
      <c r="E4">
        <v>1383825229</v>
      </c>
      <c r="F4" t="s">
        <v>82</v>
      </c>
      <c r="G4" t="s">
        <v>81</v>
      </c>
      <c r="H4">
        <v>6</v>
      </c>
      <c r="I4">
        <v>1</v>
      </c>
      <c r="J4">
        <v>1</v>
      </c>
      <c r="K4">
        <v>1</v>
      </c>
      <c r="L4">
        <v>1</v>
      </c>
      <c r="M4">
        <v>2</v>
      </c>
      <c r="N4">
        <v>1</v>
      </c>
      <c r="O4">
        <v>2</v>
      </c>
      <c r="P4">
        <v>5</v>
      </c>
      <c r="Q4">
        <v>3</v>
      </c>
      <c r="R4">
        <v>3</v>
      </c>
      <c r="S4">
        <v>3</v>
      </c>
      <c r="T4">
        <v>3</v>
      </c>
      <c r="U4">
        <v>2</v>
      </c>
      <c r="V4">
        <v>1</v>
      </c>
      <c r="W4">
        <v>2</v>
      </c>
      <c r="X4">
        <v>5</v>
      </c>
      <c r="Y4">
        <v>6</v>
      </c>
      <c r="Z4">
        <v>6</v>
      </c>
      <c r="AA4">
        <v>6</v>
      </c>
      <c r="AB4">
        <v>6</v>
      </c>
      <c r="AC4">
        <v>7</v>
      </c>
      <c r="AD4">
        <v>5</v>
      </c>
      <c r="AE4">
        <v>5</v>
      </c>
      <c r="AF4">
        <v>6</v>
      </c>
      <c r="AG4">
        <v>1</v>
      </c>
      <c r="AH4">
        <v>1</v>
      </c>
      <c r="AI4">
        <v>1</v>
      </c>
      <c r="AJ4">
        <v>1</v>
      </c>
      <c r="AK4">
        <v>7</v>
      </c>
      <c r="AL4">
        <v>1</v>
      </c>
      <c r="AM4">
        <v>1</v>
      </c>
      <c r="AN4">
        <v>6</v>
      </c>
      <c r="AO4">
        <v>1</v>
      </c>
      <c r="AP4">
        <v>1</v>
      </c>
      <c r="AQ4">
        <v>1</v>
      </c>
      <c r="AR4">
        <v>1</v>
      </c>
      <c r="AS4">
        <v>7</v>
      </c>
      <c r="AT4">
        <v>1</v>
      </c>
      <c r="AU4">
        <v>1</v>
      </c>
      <c r="AV4">
        <v>6</v>
      </c>
      <c r="AW4">
        <v>6</v>
      </c>
      <c r="AX4">
        <v>6</v>
      </c>
      <c r="AY4">
        <v>5</v>
      </c>
      <c r="AZ4">
        <v>6</v>
      </c>
      <c r="BA4">
        <v>7</v>
      </c>
      <c r="BB4">
        <v>5</v>
      </c>
      <c r="BC4">
        <v>6</v>
      </c>
      <c r="BD4" t="s">
        <v>74</v>
      </c>
      <c r="BE4" t="s">
        <v>75</v>
      </c>
      <c r="BF4" t="s">
        <v>76</v>
      </c>
      <c r="BG4" t="s">
        <v>77</v>
      </c>
      <c r="BH4" t="s">
        <v>73</v>
      </c>
      <c r="BI4" t="s">
        <v>78</v>
      </c>
      <c r="BJ4">
        <v>56</v>
      </c>
      <c r="BK4">
        <v>4</v>
      </c>
      <c r="BL4">
        <f>IF(Tabelle1[[#This Row],[Abschluss]]=2,1,0)</f>
        <v>0</v>
      </c>
      <c r="BM4">
        <f>IF(Tabelle1[[#This Row],[Abschluss]]=3,1,0)</f>
        <v>0</v>
      </c>
      <c r="BN4">
        <f>IF(Tabelle1[[#This Row],[Abschluss]]=4,1,0)</f>
        <v>1</v>
      </c>
      <c r="BO4">
        <f>IF(Tabelle1[[#This Row],[Abschluss]]=5,1,0)</f>
        <v>0</v>
      </c>
      <c r="BP4">
        <v>0</v>
      </c>
      <c r="BQ4">
        <f>IF(Tabelle1[[#This Row],[Vorwissen_tech]]=1,1,0)</f>
        <v>0</v>
      </c>
      <c r="BR4">
        <f>IF(Tabelle1[[#This Row],[Vorwissen_tech]]=2,1,0)</f>
        <v>0</v>
      </c>
      <c r="BS4">
        <v>2</v>
      </c>
      <c r="BT4">
        <f>IF(Tabelle1[[#This Row],[Vorwissen_fach]]=1,1,0)</f>
        <v>0</v>
      </c>
      <c r="BU4">
        <f>IF(Tabelle1[[#This Row],[Vorwissen_fach]]=2,1,0)</f>
        <v>1</v>
      </c>
      <c r="BV4">
        <f>IF(Tabelle1[[#This Row],[Vorwissen_tech]]=2,1,0)</f>
        <v>0</v>
      </c>
      <c r="BX4">
        <v>1384.95</v>
      </c>
      <c r="BY4">
        <v>157.94999999999999</v>
      </c>
      <c r="BZ4">
        <v>374.83</v>
      </c>
      <c r="CA4">
        <v>253.29</v>
      </c>
      <c r="CB4">
        <v>172.51</v>
      </c>
      <c r="CC4">
        <v>184.3</v>
      </c>
      <c r="CD4">
        <v>87.06</v>
      </c>
      <c r="CE4">
        <v>111.96</v>
      </c>
      <c r="CF4">
        <v>43.05</v>
      </c>
    </row>
    <row r="5" spans="1:84" x14ac:dyDescent="0.2">
      <c r="A5">
        <v>28</v>
      </c>
      <c r="B5" t="s">
        <v>83</v>
      </c>
      <c r="C5">
        <v>8</v>
      </c>
      <c r="D5" t="s">
        <v>71</v>
      </c>
      <c r="E5">
        <v>1436651720</v>
      </c>
      <c r="F5" t="s">
        <v>84</v>
      </c>
      <c r="G5" t="s">
        <v>83</v>
      </c>
      <c r="H5">
        <v>1</v>
      </c>
      <c r="I5">
        <v>6</v>
      </c>
      <c r="J5">
        <v>7</v>
      </c>
      <c r="K5">
        <v>7</v>
      </c>
      <c r="L5">
        <v>7</v>
      </c>
      <c r="M5">
        <v>2</v>
      </c>
      <c r="N5">
        <v>6</v>
      </c>
      <c r="O5">
        <v>7</v>
      </c>
      <c r="P5">
        <v>1</v>
      </c>
      <c r="Q5">
        <v>7</v>
      </c>
      <c r="R5">
        <v>7</v>
      </c>
      <c r="S5">
        <v>7</v>
      </c>
      <c r="T5">
        <v>7</v>
      </c>
      <c r="U5">
        <v>1</v>
      </c>
      <c r="V5">
        <v>2</v>
      </c>
      <c r="W5">
        <v>7</v>
      </c>
      <c r="X5">
        <v>1</v>
      </c>
      <c r="Y5">
        <v>7</v>
      </c>
      <c r="Z5">
        <v>7</v>
      </c>
      <c r="AA5">
        <v>4</v>
      </c>
      <c r="AB5">
        <v>7</v>
      </c>
      <c r="AC5">
        <v>7</v>
      </c>
      <c r="AD5">
        <v>3</v>
      </c>
      <c r="AE5">
        <v>2</v>
      </c>
      <c r="AF5">
        <v>5</v>
      </c>
      <c r="AG5">
        <v>7</v>
      </c>
      <c r="AH5">
        <v>7</v>
      </c>
      <c r="AI5">
        <v>7</v>
      </c>
      <c r="AJ5">
        <v>7</v>
      </c>
      <c r="AK5">
        <v>7</v>
      </c>
      <c r="AL5">
        <v>7</v>
      </c>
      <c r="AM5">
        <v>7</v>
      </c>
      <c r="AN5">
        <v>2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7</v>
      </c>
      <c r="AW5">
        <v>3</v>
      </c>
      <c r="AX5">
        <v>3</v>
      </c>
      <c r="AY5">
        <v>6</v>
      </c>
      <c r="AZ5">
        <v>3</v>
      </c>
      <c r="BA5">
        <v>7</v>
      </c>
      <c r="BB5">
        <v>6</v>
      </c>
      <c r="BC5">
        <v>3</v>
      </c>
      <c r="BD5" t="s">
        <v>73</v>
      </c>
      <c r="BE5" t="s">
        <v>74</v>
      </c>
      <c r="BF5" t="s">
        <v>77</v>
      </c>
      <c r="BG5" t="s">
        <v>76</v>
      </c>
      <c r="BH5" t="s">
        <v>75</v>
      </c>
      <c r="BI5" t="s">
        <v>78</v>
      </c>
      <c r="BJ5">
        <v>39</v>
      </c>
      <c r="BK5">
        <v>4</v>
      </c>
      <c r="BL5">
        <f>IF(Tabelle1[[#This Row],[Abschluss]]=2,1,0)</f>
        <v>0</v>
      </c>
      <c r="BM5">
        <f>IF(Tabelle1[[#This Row],[Abschluss]]=3,1,0)</f>
        <v>0</v>
      </c>
      <c r="BN5">
        <f>IF(Tabelle1[[#This Row],[Abschluss]]=4,1,0)</f>
        <v>1</v>
      </c>
      <c r="BO5">
        <f>IF(Tabelle1[[#This Row],[Abschluss]]=5,1,0)</f>
        <v>0</v>
      </c>
      <c r="BP5">
        <v>0</v>
      </c>
      <c r="BQ5">
        <f>IF(Tabelle1[[#This Row],[Vorwissen_tech]]=1,1,0)</f>
        <v>0</v>
      </c>
      <c r="BR5">
        <f>IF(Tabelle1[[#This Row],[Vorwissen_tech]]=2,1,0)</f>
        <v>0</v>
      </c>
      <c r="BS5">
        <v>0</v>
      </c>
      <c r="BT5">
        <f>IF(Tabelle1[[#This Row],[Vorwissen_fach]]=1,1,0)</f>
        <v>0</v>
      </c>
      <c r="BU5">
        <f>IF(Tabelle1[[#This Row],[Vorwissen_fach]]=2,1,0)</f>
        <v>0</v>
      </c>
      <c r="BV5">
        <f>IF(Tabelle1[[#This Row],[Vorwissen_tech]]=2,1,0)</f>
        <v>0</v>
      </c>
      <c r="BX5">
        <v>1605.81</v>
      </c>
      <c r="BY5">
        <v>122.8</v>
      </c>
      <c r="BZ5">
        <v>135.54</v>
      </c>
      <c r="CA5">
        <v>105.61</v>
      </c>
      <c r="CB5">
        <v>138.44999999999999</v>
      </c>
      <c r="CC5">
        <v>222.24</v>
      </c>
      <c r="CD5">
        <v>813.46</v>
      </c>
      <c r="CE5">
        <v>47.06</v>
      </c>
      <c r="CF5">
        <v>20.65</v>
      </c>
    </row>
    <row r="6" spans="1:84" x14ac:dyDescent="0.2">
      <c r="A6">
        <v>40</v>
      </c>
      <c r="B6" t="s">
        <v>85</v>
      </c>
      <c r="C6">
        <v>8</v>
      </c>
      <c r="D6" t="s">
        <v>71</v>
      </c>
      <c r="E6">
        <v>766766586</v>
      </c>
      <c r="F6" t="s">
        <v>86</v>
      </c>
      <c r="G6" t="s">
        <v>85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3</v>
      </c>
      <c r="S6">
        <v>3</v>
      </c>
      <c r="T6">
        <v>2</v>
      </c>
      <c r="U6">
        <v>1</v>
      </c>
      <c r="V6">
        <v>1</v>
      </c>
      <c r="W6">
        <v>1</v>
      </c>
      <c r="X6">
        <v>5</v>
      </c>
      <c r="Y6">
        <v>6</v>
      </c>
      <c r="Z6">
        <v>6</v>
      </c>
      <c r="AA6">
        <v>5</v>
      </c>
      <c r="AB6">
        <v>6</v>
      </c>
      <c r="AC6">
        <v>6</v>
      </c>
      <c r="AD6">
        <v>6</v>
      </c>
      <c r="AE6">
        <v>6</v>
      </c>
      <c r="AF6">
        <v>5</v>
      </c>
      <c r="AG6">
        <v>5</v>
      </c>
      <c r="AH6">
        <v>4</v>
      </c>
      <c r="AI6">
        <v>5</v>
      </c>
      <c r="AJ6">
        <v>5</v>
      </c>
      <c r="AK6">
        <v>4</v>
      </c>
      <c r="AL6">
        <v>5</v>
      </c>
      <c r="AM6">
        <v>5</v>
      </c>
      <c r="AN6">
        <v>1</v>
      </c>
      <c r="AO6">
        <v>1</v>
      </c>
      <c r="AP6">
        <v>1</v>
      </c>
      <c r="AQ6">
        <v>1</v>
      </c>
      <c r="AR6">
        <v>3</v>
      </c>
      <c r="AS6">
        <v>1</v>
      </c>
      <c r="AT6">
        <v>1</v>
      </c>
      <c r="AU6">
        <v>1</v>
      </c>
      <c r="AV6">
        <v>1</v>
      </c>
      <c r="AW6">
        <v>4</v>
      </c>
      <c r="AX6">
        <v>1</v>
      </c>
      <c r="AY6">
        <v>5</v>
      </c>
      <c r="AZ6">
        <v>5</v>
      </c>
      <c r="BA6">
        <v>1</v>
      </c>
      <c r="BB6">
        <v>1</v>
      </c>
      <c r="BC6">
        <v>1</v>
      </c>
      <c r="BD6" t="s">
        <v>73</v>
      </c>
      <c r="BE6" t="s">
        <v>74</v>
      </c>
      <c r="BF6" t="s">
        <v>77</v>
      </c>
      <c r="BG6" t="s">
        <v>76</v>
      </c>
      <c r="BH6" t="s">
        <v>75</v>
      </c>
      <c r="BI6" t="s">
        <v>78</v>
      </c>
      <c r="BJ6">
        <v>38</v>
      </c>
      <c r="BK6">
        <v>5</v>
      </c>
      <c r="BL6">
        <f>IF(Tabelle1[[#This Row],[Abschluss]]=2,1,0)</f>
        <v>0</v>
      </c>
      <c r="BM6">
        <f>IF(Tabelle1[[#This Row],[Abschluss]]=3,1,0)</f>
        <v>0</v>
      </c>
      <c r="BN6">
        <f>IF(Tabelle1[[#This Row],[Abschluss]]=4,1,0)</f>
        <v>0</v>
      </c>
      <c r="BO6">
        <f>IF(Tabelle1[[#This Row],[Abschluss]]=5,1,0)</f>
        <v>1</v>
      </c>
      <c r="BP6">
        <v>1</v>
      </c>
      <c r="BQ6">
        <f>IF(Tabelle1[[#This Row],[Vorwissen_tech]]=1,1,0)</f>
        <v>1</v>
      </c>
      <c r="BR6">
        <f>IF(Tabelle1[[#This Row],[Vorwissen_tech]]=2,1,0)</f>
        <v>0</v>
      </c>
      <c r="BS6">
        <v>1</v>
      </c>
      <c r="BT6">
        <f>IF(Tabelle1[[#This Row],[Vorwissen_fach]]=1,1,0)</f>
        <v>1</v>
      </c>
      <c r="BU6">
        <f>IF(Tabelle1[[#This Row],[Vorwissen_fach]]=2,1,0)</f>
        <v>0</v>
      </c>
      <c r="BV6">
        <f>IF(Tabelle1[[#This Row],[Vorwissen_tech]]=2,1,0)</f>
        <v>0</v>
      </c>
      <c r="BX6">
        <v>548.08000000000004</v>
      </c>
      <c r="BY6">
        <v>29.53</v>
      </c>
      <c r="BZ6">
        <v>49.64</v>
      </c>
      <c r="CA6">
        <v>63.37</v>
      </c>
      <c r="CB6">
        <v>59.85</v>
      </c>
      <c r="CC6">
        <v>37.78</v>
      </c>
      <c r="CD6">
        <v>213.07</v>
      </c>
      <c r="CE6">
        <v>75.34</v>
      </c>
      <c r="CF6">
        <v>19.5</v>
      </c>
    </row>
    <row r="7" spans="1:84" x14ac:dyDescent="0.2">
      <c r="A7">
        <v>52</v>
      </c>
      <c r="B7" t="s">
        <v>87</v>
      </c>
      <c r="C7">
        <v>8</v>
      </c>
      <c r="D7" t="s">
        <v>71</v>
      </c>
      <c r="E7">
        <v>442996048</v>
      </c>
      <c r="F7" t="s">
        <v>88</v>
      </c>
      <c r="G7" t="s">
        <v>87</v>
      </c>
      <c r="H7">
        <v>5</v>
      </c>
      <c r="I7">
        <v>5</v>
      </c>
      <c r="J7">
        <v>4</v>
      </c>
      <c r="K7">
        <v>6</v>
      </c>
      <c r="L7">
        <v>5</v>
      </c>
      <c r="M7">
        <v>3</v>
      </c>
      <c r="N7">
        <v>5</v>
      </c>
      <c r="O7">
        <v>5</v>
      </c>
      <c r="P7">
        <v>3</v>
      </c>
      <c r="Q7">
        <v>4</v>
      </c>
      <c r="R7">
        <v>2</v>
      </c>
      <c r="S7">
        <v>3</v>
      </c>
      <c r="T7">
        <v>2</v>
      </c>
      <c r="U7">
        <v>5</v>
      </c>
      <c r="V7">
        <v>3</v>
      </c>
      <c r="W7">
        <v>2</v>
      </c>
      <c r="X7">
        <v>4</v>
      </c>
      <c r="Y7">
        <v>5</v>
      </c>
      <c r="Z7">
        <v>4</v>
      </c>
      <c r="AA7">
        <v>4</v>
      </c>
      <c r="AB7">
        <v>4</v>
      </c>
      <c r="AC7">
        <v>4</v>
      </c>
      <c r="AD7">
        <v>5</v>
      </c>
      <c r="AE7">
        <v>5</v>
      </c>
      <c r="AF7">
        <v>4</v>
      </c>
      <c r="AG7">
        <v>3</v>
      </c>
      <c r="AH7">
        <v>3</v>
      </c>
      <c r="AI7">
        <v>4</v>
      </c>
      <c r="AJ7">
        <v>3</v>
      </c>
      <c r="AK7">
        <v>4</v>
      </c>
      <c r="AL7">
        <v>2</v>
      </c>
      <c r="AM7">
        <v>3</v>
      </c>
      <c r="AN7">
        <v>3</v>
      </c>
      <c r="AO7">
        <v>4</v>
      </c>
      <c r="AP7">
        <v>4</v>
      </c>
      <c r="AQ7">
        <v>5</v>
      </c>
      <c r="AR7">
        <v>3</v>
      </c>
      <c r="AS7">
        <v>4</v>
      </c>
      <c r="AT7">
        <v>3</v>
      </c>
      <c r="AU7">
        <v>2</v>
      </c>
      <c r="AV7">
        <v>6</v>
      </c>
      <c r="AW7">
        <v>6</v>
      </c>
      <c r="AX7">
        <v>6</v>
      </c>
      <c r="AY7">
        <v>7</v>
      </c>
      <c r="AZ7">
        <v>4</v>
      </c>
      <c r="BA7">
        <v>4</v>
      </c>
      <c r="BB7">
        <v>6</v>
      </c>
      <c r="BC7">
        <v>5</v>
      </c>
      <c r="BD7" t="s">
        <v>74</v>
      </c>
      <c r="BE7" t="s">
        <v>77</v>
      </c>
      <c r="BF7" t="s">
        <v>75</v>
      </c>
      <c r="BG7" t="s">
        <v>78</v>
      </c>
      <c r="BH7" t="s">
        <v>76</v>
      </c>
      <c r="BI7" t="s">
        <v>73</v>
      </c>
      <c r="BJ7">
        <v>21</v>
      </c>
      <c r="BK7">
        <v>1</v>
      </c>
      <c r="BL7">
        <f>IF(Tabelle1[[#This Row],[Abschluss]]=2,1,0)</f>
        <v>0</v>
      </c>
      <c r="BM7">
        <f>IF(Tabelle1[[#This Row],[Abschluss]]=3,1,0)</f>
        <v>0</v>
      </c>
      <c r="BN7">
        <f>IF(Tabelle1[[#This Row],[Abschluss]]=4,1,0)</f>
        <v>0</v>
      </c>
      <c r="BO7">
        <f>IF(Tabelle1[[#This Row],[Abschluss]]=5,1,0)</f>
        <v>0</v>
      </c>
      <c r="BP7">
        <v>0</v>
      </c>
      <c r="BQ7">
        <f>IF(Tabelle1[[#This Row],[Vorwissen_tech]]=1,1,0)</f>
        <v>0</v>
      </c>
      <c r="BR7">
        <f>IF(Tabelle1[[#This Row],[Vorwissen_tech]]=2,1,0)</f>
        <v>0</v>
      </c>
      <c r="BS7">
        <v>0</v>
      </c>
      <c r="BT7">
        <f>IF(Tabelle1[[#This Row],[Vorwissen_fach]]=1,1,0)</f>
        <v>0</v>
      </c>
      <c r="BU7">
        <f>IF(Tabelle1[[#This Row],[Vorwissen_fach]]=2,1,0)</f>
        <v>0</v>
      </c>
      <c r="BV7">
        <f>IF(Tabelle1[[#This Row],[Vorwissen_tech]]=2,1,0)</f>
        <v>0</v>
      </c>
      <c r="BX7">
        <v>733.55</v>
      </c>
      <c r="BY7">
        <v>152.69</v>
      </c>
      <c r="BZ7">
        <v>194.66</v>
      </c>
      <c r="CA7">
        <v>56.31</v>
      </c>
      <c r="CB7">
        <v>64.63</v>
      </c>
      <c r="CC7">
        <v>55.61</v>
      </c>
      <c r="CD7">
        <v>108.07</v>
      </c>
      <c r="CE7">
        <v>75.75</v>
      </c>
      <c r="CF7">
        <v>25.83</v>
      </c>
    </row>
    <row r="8" spans="1:84" x14ac:dyDescent="0.2">
      <c r="A8">
        <v>55</v>
      </c>
      <c r="B8" t="s">
        <v>89</v>
      </c>
      <c r="C8">
        <v>8</v>
      </c>
      <c r="D8" t="s">
        <v>71</v>
      </c>
      <c r="E8">
        <v>1508450868</v>
      </c>
      <c r="F8" t="s">
        <v>90</v>
      </c>
      <c r="G8" t="s">
        <v>89</v>
      </c>
      <c r="H8">
        <v>6</v>
      </c>
      <c r="I8">
        <v>6</v>
      </c>
      <c r="J8">
        <v>6</v>
      </c>
      <c r="K8">
        <v>3</v>
      </c>
      <c r="L8">
        <v>6</v>
      </c>
      <c r="M8">
        <v>6</v>
      </c>
      <c r="N8">
        <v>5</v>
      </c>
      <c r="O8">
        <v>4</v>
      </c>
      <c r="P8">
        <v>2</v>
      </c>
      <c r="Q8">
        <v>6</v>
      </c>
      <c r="R8">
        <v>5</v>
      </c>
      <c r="S8">
        <v>6</v>
      </c>
      <c r="T8">
        <v>6</v>
      </c>
      <c r="U8">
        <v>3</v>
      </c>
      <c r="V8">
        <v>5</v>
      </c>
      <c r="W8">
        <v>2</v>
      </c>
      <c r="X8">
        <v>3</v>
      </c>
      <c r="Y8">
        <v>5</v>
      </c>
      <c r="Z8">
        <v>6</v>
      </c>
      <c r="AA8">
        <v>2</v>
      </c>
      <c r="AB8">
        <v>6</v>
      </c>
      <c r="AC8">
        <v>4</v>
      </c>
      <c r="AD8">
        <v>5</v>
      </c>
      <c r="AE8">
        <v>2</v>
      </c>
      <c r="AF8">
        <v>3</v>
      </c>
      <c r="AG8">
        <v>5</v>
      </c>
      <c r="AH8">
        <v>6</v>
      </c>
      <c r="AI8">
        <v>5</v>
      </c>
      <c r="AJ8">
        <v>4</v>
      </c>
      <c r="AK8">
        <v>3</v>
      </c>
      <c r="AL8">
        <v>5</v>
      </c>
      <c r="AM8">
        <v>4</v>
      </c>
      <c r="AN8">
        <v>2</v>
      </c>
      <c r="AO8">
        <v>4</v>
      </c>
      <c r="AP8">
        <v>3</v>
      </c>
      <c r="AQ8">
        <v>5</v>
      </c>
      <c r="AR8">
        <v>3</v>
      </c>
      <c r="AS8">
        <v>5</v>
      </c>
      <c r="AT8">
        <v>3</v>
      </c>
      <c r="AU8">
        <v>1</v>
      </c>
      <c r="AV8">
        <v>6</v>
      </c>
      <c r="AW8">
        <v>7</v>
      </c>
      <c r="AX8">
        <v>6</v>
      </c>
      <c r="AY8">
        <v>7</v>
      </c>
      <c r="AZ8">
        <v>7</v>
      </c>
      <c r="BA8">
        <v>7</v>
      </c>
      <c r="BB8">
        <v>7</v>
      </c>
      <c r="BC8">
        <v>7</v>
      </c>
      <c r="BD8" t="s">
        <v>74</v>
      </c>
      <c r="BE8" t="s">
        <v>77</v>
      </c>
      <c r="BF8" t="s">
        <v>78</v>
      </c>
      <c r="BG8" t="s">
        <v>76</v>
      </c>
      <c r="BH8" t="s">
        <v>75</v>
      </c>
      <c r="BI8" t="s">
        <v>73</v>
      </c>
      <c r="BJ8">
        <v>20</v>
      </c>
      <c r="BK8">
        <v>1</v>
      </c>
      <c r="BL8">
        <f>IF(Tabelle1[[#This Row],[Abschluss]]=2,1,0)</f>
        <v>0</v>
      </c>
      <c r="BM8">
        <f>IF(Tabelle1[[#This Row],[Abschluss]]=3,1,0)</f>
        <v>0</v>
      </c>
      <c r="BN8">
        <f>IF(Tabelle1[[#This Row],[Abschluss]]=4,1,0)</f>
        <v>0</v>
      </c>
      <c r="BO8">
        <f>IF(Tabelle1[[#This Row],[Abschluss]]=5,1,0)</f>
        <v>0</v>
      </c>
      <c r="BP8">
        <v>0</v>
      </c>
      <c r="BQ8">
        <f>IF(Tabelle1[[#This Row],[Vorwissen_tech]]=1,1,0)</f>
        <v>0</v>
      </c>
      <c r="BR8">
        <f>IF(Tabelle1[[#This Row],[Vorwissen_tech]]=2,1,0)</f>
        <v>0</v>
      </c>
      <c r="BS8">
        <v>0</v>
      </c>
      <c r="BT8">
        <f>IF(Tabelle1[[#This Row],[Vorwissen_fach]]=1,1,0)</f>
        <v>0</v>
      </c>
      <c r="BU8">
        <f>IF(Tabelle1[[#This Row],[Vorwissen_fach]]=2,1,0)</f>
        <v>0</v>
      </c>
      <c r="BV8">
        <f>IF(Tabelle1[[#This Row],[Vorwissen_tech]]=2,1,0)</f>
        <v>0</v>
      </c>
      <c r="BX8">
        <v>1025.8</v>
      </c>
      <c r="BY8">
        <v>92.22</v>
      </c>
      <c r="BZ8">
        <v>165.31</v>
      </c>
      <c r="CA8">
        <v>114.88</v>
      </c>
      <c r="CB8">
        <v>186.57</v>
      </c>
      <c r="CC8">
        <v>182.45</v>
      </c>
      <c r="CD8">
        <v>157.78</v>
      </c>
      <c r="CE8">
        <v>98.92</v>
      </c>
      <c r="CF8">
        <v>27.67</v>
      </c>
    </row>
    <row r="9" spans="1:84" x14ac:dyDescent="0.2">
      <c r="A9">
        <v>58</v>
      </c>
      <c r="B9" t="s">
        <v>91</v>
      </c>
      <c r="C9">
        <v>8</v>
      </c>
      <c r="D9" t="s">
        <v>71</v>
      </c>
      <c r="E9">
        <v>1062889833</v>
      </c>
      <c r="F9" t="s">
        <v>92</v>
      </c>
      <c r="G9" t="s">
        <v>91</v>
      </c>
      <c r="H9">
        <v>3</v>
      </c>
      <c r="I9">
        <v>5</v>
      </c>
      <c r="J9">
        <v>4</v>
      </c>
      <c r="K9">
        <v>4</v>
      </c>
      <c r="L9">
        <v>5</v>
      </c>
      <c r="M9">
        <v>3</v>
      </c>
      <c r="N9">
        <v>2</v>
      </c>
      <c r="O9">
        <v>2</v>
      </c>
      <c r="P9">
        <v>4</v>
      </c>
      <c r="Q9">
        <v>6</v>
      </c>
      <c r="R9">
        <v>2</v>
      </c>
      <c r="S9">
        <v>5</v>
      </c>
      <c r="T9">
        <v>5</v>
      </c>
      <c r="U9">
        <v>6</v>
      </c>
      <c r="V9">
        <v>4</v>
      </c>
      <c r="W9">
        <v>2</v>
      </c>
      <c r="X9">
        <v>6</v>
      </c>
      <c r="Y9">
        <v>7</v>
      </c>
      <c r="Z9">
        <v>7</v>
      </c>
      <c r="AA9">
        <v>7</v>
      </c>
      <c r="AB9">
        <v>6</v>
      </c>
      <c r="AC9">
        <v>7</v>
      </c>
      <c r="AD9">
        <v>6</v>
      </c>
      <c r="AE9">
        <v>3</v>
      </c>
      <c r="AF9">
        <v>7</v>
      </c>
      <c r="AG9">
        <v>6</v>
      </c>
      <c r="AH9">
        <v>6</v>
      </c>
      <c r="AI9">
        <v>7</v>
      </c>
      <c r="AJ9">
        <v>6</v>
      </c>
      <c r="AK9">
        <v>6</v>
      </c>
      <c r="AL9">
        <v>5</v>
      </c>
      <c r="AM9">
        <v>5</v>
      </c>
      <c r="AN9">
        <v>5</v>
      </c>
      <c r="AO9">
        <v>5</v>
      </c>
      <c r="AP9">
        <v>3</v>
      </c>
      <c r="AQ9">
        <v>6</v>
      </c>
      <c r="AR9">
        <v>4</v>
      </c>
      <c r="AS9">
        <v>5</v>
      </c>
      <c r="AT9">
        <v>5</v>
      </c>
      <c r="AU9">
        <v>3</v>
      </c>
      <c r="AV9">
        <v>6</v>
      </c>
      <c r="AW9">
        <v>5</v>
      </c>
      <c r="AX9">
        <v>5</v>
      </c>
      <c r="AY9">
        <v>6</v>
      </c>
      <c r="AZ9">
        <v>6</v>
      </c>
      <c r="BA9">
        <v>5</v>
      </c>
      <c r="BB9">
        <v>6</v>
      </c>
      <c r="BC9">
        <v>5</v>
      </c>
      <c r="BD9" t="s">
        <v>73</v>
      </c>
      <c r="BE9" t="s">
        <v>75</v>
      </c>
      <c r="BF9" t="s">
        <v>74</v>
      </c>
      <c r="BG9" t="s">
        <v>78</v>
      </c>
      <c r="BH9" t="s">
        <v>77</v>
      </c>
      <c r="BI9" t="s">
        <v>76</v>
      </c>
      <c r="BJ9">
        <v>20</v>
      </c>
      <c r="BK9">
        <v>1</v>
      </c>
      <c r="BL9">
        <f>IF(Tabelle1[[#This Row],[Abschluss]]=2,1,0)</f>
        <v>0</v>
      </c>
      <c r="BM9">
        <f>IF(Tabelle1[[#This Row],[Abschluss]]=3,1,0)</f>
        <v>0</v>
      </c>
      <c r="BN9">
        <f>IF(Tabelle1[[#This Row],[Abschluss]]=4,1,0)</f>
        <v>0</v>
      </c>
      <c r="BO9">
        <f>IF(Tabelle1[[#This Row],[Abschluss]]=5,1,0)</f>
        <v>0</v>
      </c>
      <c r="BP9">
        <v>0</v>
      </c>
      <c r="BQ9">
        <f>IF(Tabelle1[[#This Row],[Vorwissen_tech]]=1,1,0)</f>
        <v>0</v>
      </c>
      <c r="BR9">
        <f>IF(Tabelle1[[#This Row],[Vorwissen_tech]]=2,1,0)</f>
        <v>0</v>
      </c>
      <c r="BS9">
        <v>0</v>
      </c>
      <c r="BT9">
        <f>IF(Tabelle1[[#This Row],[Vorwissen_fach]]=1,1,0)</f>
        <v>0</v>
      </c>
      <c r="BU9">
        <f>IF(Tabelle1[[#This Row],[Vorwissen_fach]]=2,1,0)</f>
        <v>0</v>
      </c>
      <c r="BV9">
        <f>IF(Tabelle1[[#This Row],[Vorwissen_tech]]=2,1,0)</f>
        <v>0</v>
      </c>
      <c r="BX9">
        <v>1218.42</v>
      </c>
      <c r="BY9">
        <v>150.31</v>
      </c>
      <c r="BZ9">
        <v>282.75</v>
      </c>
      <c r="CA9">
        <v>121.15</v>
      </c>
      <c r="CB9">
        <v>28.99</v>
      </c>
      <c r="CC9">
        <v>272.58</v>
      </c>
      <c r="CD9">
        <v>214.98</v>
      </c>
      <c r="CE9">
        <v>98.04</v>
      </c>
      <c r="CF9">
        <v>49.62</v>
      </c>
    </row>
    <row r="10" spans="1:84" x14ac:dyDescent="0.2">
      <c r="A10">
        <v>70</v>
      </c>
      <c r="B10" t="s">
        <v>93</v>
      </c>
      <c r="C10">
        <v>8</v>
      </c>
      <c r="D10" t="s">
        <v>71</v>
      </c>
      <c r="E10">
        <v>187939652</v>
      </c>
      <c r="F10" t="s">
        <v>94</v>
      </c>
      <c r="G10" t="s">
        <v>93</v>
      </c>
      <c r="H10">
        <v>2</v>
      </c>
      <c r="I10">
        <v>5</v>
      </c>
      <c r="J10">
        <v>6</v>
      </c>
      <c r="K10">
        <v>6</v>
      </c>
      <c r="L10">
        <v>7</v>
      </c>
      <c r="M10">
        <v>2</v>
      </c>
      <c r="N10">
        <v>5</v>
      </c>
      <c r="O10">
        <v>3</v>
      </c>
      <c r="P10">
        <v>2</v>
      </c>
      <c r="Q10">
        <v>6</v>
      </c>
      <c r="R10">
        <v>5</v>
      </c>
      <c r="S10">
        <v>3</v>
      </c>
      <c r="T10">
        <v>5</v>
      </c>
      <c r="U10">
        <v>2</v>
      </c>
      <c r="V10">
        <v>2</v>
      </c>
      <c r="W10">
        <v>4</v>
      </c>
      <c r="X10">
        <v>5</v>
      </c>
      <c r="Y10">
        <v>5</v>
      </c>
      <c r="Z10">
        <v>6</v>
      </c>
      <c r="AA10">
        <v>6</v>
      </c>
      <c r="AB10">
        <v>6</v>
      </c>
      <c r="AC10">
        <v>4</v>
      </c>
      <c r="AD10">
        <v>5</v>
      </c>
      <c r="AE10">
        <v>5</v>
      </c>
      <c r="AF10">
        <v>6</v>
      </c>
      <c r="AG10">
        <v>7</v>
      </c>
      <c r="AH10">
        <v>7</v>
      </c>
      <c r="AI10">
        <v>6</v>
      </c>
      <c r="AJ10">
        <v>6</v>
      </c>
      <c r="AK10">
        <v>5</v>
      </c>
      <c r="AL10">
        <v>4</v>
      </c>
      <c r="AM10">
        <v>6</v>
      </c>
      <c r="AN10">
        <v>2</v>
      </c>
      <c r="AO10">
        <v>2</v>
      </c>
      <c r="AP10">
        <v>2</v>
      </c>
      <c r="AQ10">
        <v>2</v>
      </c>
      <c r="AR10">
        <v>5</v>
      </c>
      <c r="AS10">
        <v>2</v>
      </c>
      <c r="AT10">
        <v>2</v>
      </c>
      <c r="AU10">
        <v>2</v>
      </c>
      <c r="AV10">
        <v>3</v>
      </c>
      <c r="AW10">
        <v>6</v>
      </c>
      <c r="AX10">
        <v>6</v>
      </c>
      <c r="AY10">
        <v>7</v>
      </c>
      <c r="AZ10">
        <v>7</v>
      </c>
      <c r="BA10">
        <v>4</v>
      </c>
      <c r="BB10">
        <v>4</v>
      </c>
      <c r="BC10">
        <v>5</v>
      </c>
      <c r="BD10" t="s">
        <v>73</v>
      </c>
      <c r="BE10" t="s">
        <v>77</v>
      </c>
      <c r="BF10" t="s">
        <v>75</v>
      </c>
      <c r="BG10" t="s">
        <v>74</v>
      </c>
      <c r="BH10" t="s">
        <v>76</v>
      </c>
      <c r="BI10" t="s">
        <v>78</v>
      </c>
      <c r="BJ10">
        <v>38</v>
      </c>
      <c r="BK10">
        <v>4</v>
      </c>
      <c r="BL10">
        <f>IF(Tabelle1[[#This Row],[Abschluss]]=2,1,0)</f>
        <v>0</v>
      </c>
      <c r="BM10">
        <f>IF(Tabelle1[[#This Row],[Abschluss]]=3,1,0)</f>
        <v>0</v>
      </c>
      <c r="BN10">
        <f>IF(Tabelle1[[#This Row],[Abschluss]]=4,1,0)</f>
        <v>1</v>
      </c>
      <c r="BO10">
        <f>IF(Tabelle1[[#This Row],[Abschluss]]=5,1,0)</f>
        <v>0</v>
      </c>
      <c r="BP10">
        <v>0</v>
      </c>
      <c r="BQ10">
        <f>IF(Tabelle1[[#This Row],[Vorwissen_tech]]=1,1,0)</f>
        <v>0</v>
      </c>
      <c r="BR10">
        <f>IF(Tabelle1[[#This Row],[Vorwissen_tech]]=2,1,0)</f>
        <v>0</v>
      </c>
      <c r="BS10">
        <v>0</v>
      </c>
      <c r="BT10">
        <f>IF(Tabelle1[[#This Row],[Vorwissen_fach]]=1,1,0)</f>
        <v>0</v>
      </c>
      <c r="BU10">
        <f>IF(Tabelle1[[#This Row],[Vorwissen_fach]]=2,1,0)</f>
        <v>0</v>
      </c>
      <c r="BV10">
        <f>IF(Tabelle1[[#This Row],[Vorwissen_tech]]=2,1,0)</f>
        <v>0</v>
      </c>
      <c r="BX10">
        <v>4214.3999999999996</v>
      </c>
      <c r="BY10">
        <v>3450.12</v>
      </c>
      <c r="BZ10">
        <v>88.23</v>
      </c>
      <c r="CA10">
        <v>59.03</v>
      </c>
      <c r="CB10">
        <v>108.32</v>
      </c>
      <c r="CC10">
        <v>80.22</v>
      </c>
      <c r="CD10">
        <v>299.68</v>
      </c>
      <c r="CE10">
        <v>98.13</v>
      </c>
      <c r="CF10">
        <v>30.67</v>
      </c>
    </row>
    <row r="11" spans="1:84" x14ac:dyDescent="0.2">
      <c r="A11">
        <v>73</v>
      </c>
      <c r="B11" t="s">
        <v>95</v>
      </c>
      <c r="C11">
        <v>8</v>
      </c>
      <c r="D11" t="s">
        <v>71</v>
      </c>
      <c r="E11">
        <v>1459575147</v>
      </c>
      <c r="F11" t="s">
        <v>96</v>
      </c>
      <c r="G11" t="s">
        <v>95</v>
      </c>
      <c r="H11">
        <v>6</v>
      </c>
      <c r="I11">
        <v>6</v>
      </c>
      <c r="J11">
        <v>5</v>
      </c>
      <c r="K11">
        <v>6</v>
      </c>
      <c r="L11">
        <v>6</v>
      </c>
      <c r="M11">
        <v>1</v>
      </c>
      <c r="N11">
        <v>5</v>
      </c>
      <c r="O11">
        <v>4</v>
      </c>
      <c r="P11">
        <v>6</v>
      </c>
      <c r="Q11">
        <v>2</v>
      </c>
      <c r="R11">
        <v>3</v>
      </c>
      <c r="S11">
        <v>5</v>
      </c>
      <c r="T11">
        <v>4</v>
      </c>
      <c r="U11">
        <v>3</v>
      </c>
      <c r="V11">
        <v>3</v>
      </c>
      <c r="W11">
        <v>2</v>
      </c>
      <c r="X11">
        <v>6</v>
      </c>
      <c r="Y11">
        <v>7</v>
      </c>
      <c r="Z11">
        <v>7</v>
      </c>
      <c r="AA11">
        <v>7</v>
      </c>
      <c r="AB11">
        <v>7</v>
      </c>
      <c r="AC11">
        <v>7</v>
      </c>
      <c r="AD11">
        <v>7</v>
      </c>
      <c r="AE11">
        <v>7</v>
      </c>
      <c r="AF11">
        <v>6</v>
      </c>
      <c r="AG11">
        <v>6</v>
      </c>
      <c r="AH11">
        <v>6</v>
      </c>
      <c r="AI11">
        <v>6</v>
      </c>
      <c r="AJ11">
        <v>6</v>
      </c>
      <c r="AK11">
        <v>6</v>
      </c>
      <c r="AL11">
        <v>6</v>
      </c>
      <c r="AM11">
        <v>6</v>
      </c>
      <c r="AN11">
        <v>4</v>
      </c>
      <c r="AO11">
        <v>3</v>
      </c>
      <c r="AP11">
        <v>3</v>
      </c>
      <c r="AQ11">
        <v>4</v>
      </c>
      <c r="AR11">
        <v>5</v>
      </c>
      <c r="AS11">
        <v>2</v>
      </c>
      <c r="AT11">
        <v>3</v>
      </c>
      <c r="AU11">
        <v>3</v>
      </c>
      <c r="AV11">
        <v>6</v>
      </c>
      <c r="AW11">
        <v>6</v>
      </c>
      <c r="AX11">
        <v>4</v>
      </c>
      <c r="AY11">
        <v>6</v>
      </c>
      <c r="AZ11">
        <v>5</v>
      </c>
      <c r="BA11">
        <v>5</v>
      </c>
      <c r="BB11">
        <v>4</v>
      </c>
      <c r="BC11">
        <v>5</v>
      </c>
      <c r="BD11" t="s">
        <v>73</v>
      </c>
      <c r="BE11" t="s">
        <v>75</v>
      </c>
      <c r="BF11" t="s">
        <v>77</v>
      </c>
      <c r="BG11" t="s">
        <v>74</v>
      </c>
      <c r="BH11" t="s">
        <v>76</v>
      </c>
      <c r="BI11" t="s">
        <v>78</v>
      </c>
      <c r="BJ11">
        <v>26</v>
      </c>
      <c r="BK11">
        <v>4</v>
      </c>
      <c r="BL11">
        <f>IF(Tabelle1[[#This Row],[Abschluss]]=2,1,0)</f>
        <v>0</v>
      </c>
      <c r="BM11">
        <f>IF(Tabelle1[[#This Row],[Abschluss]]=3,1,0)</f>
        <v>0</v>
      </c>
      <c r="BN11">
        <f>IF(Tabelle1[[#This Row],[Abschluss]]=4,1,0)</f>
        <v>1</v>
      </c>
      <c r="BO11">
        <f>IF(Tabelle1[[#This Row],[Abschluss]]=5,1,0)</f>
        <v>0</v>
      </c>
      <c r="BP11">
        <v>0</v>
      </c>
      <c r="BQ11">
        <f>IF(Tabelle1[[#This Row],[Vorwissen_tech]]=1,1,0)</f>
        <v>0</v>
      </c>
      <c r="BR11">
        <f>IF(Tabelle1[[#This Row],[Vorwissen_tech]]=2,1,0)</f>
        <v>0</v>
      </c>
      <c r="BS11">
        <v>0</v>
      </c>
      <c r="BT11">
        <f>IF(Tabelle1[[#This Row],[Vorwissen_fach]]=1,1,0)</f>
        <v>0</v>
      </c>
      <c r="BU11">
        <f>IF(Tabelle1[[#This Row],[Vorwissen_fach]]=2,1,0)</f>
        <v>0</v>
      </c>
      <c r="BV11">
        <f>IF(Tabelle1[[#This Row],[Vorwissen_tech]]=2,1,0)</f>
        <v>0</v>
      </c>
      <c r="BX11">
        <v>2355.0100000000002</v>
      </c>
      <c r="BY11">
        <v>162.09</v>
      </c>
      <c r="BZ11">
        <v>1311.35</v>
      </c>
      <c r="CA11">
        <v>84.93</v>
      </c>
      <c r="CB11">
        <v>146.59</v>
      </c>
      <c r="CC11">
        <v>272.26</v>
      </c>
      <c r="CD11">
        <v>257.39</v>
      </c>
      <c r="CE11">
        <v>86.93</v>
      </c>
      <c r="CF11">
        <v>33.47</v>
      </c>
    </row>
    <row r="12" spans="1:84" x14ac:dyDescent="0.2">
      <c r="A12">
        <v>76</v>
      </c>
      <c r="B12" t="s">
        <v>97</v>
      </c>
      <c r="C12">
        <v>8</v>
      </c>
      <c r="D12" t="s">
        <v>71</v>
      </c>
      <c r="E12">
        <v>1743407445</v>
      </c>
      <c r="F12" t="s">
        <v>98</v>
      </c>
      <c r="G12" t="s">
        <v>97</v>
      </c>
      <c r="H12">
        <v>5</v>
      </c>
      <c r="I12">
        <v>5</v>
      </c>
      <c r="J12">
        <v>6</v>
      </c>
      <c r="K12">
        <v>6</v>
      </c>
      <c r="L12">
        <v>6</v>
      </c>
      <c r="M12">
        <v>4</v>
      </c>
      <c r="N12">
        <v>4</v>
      </c>
      <c r="O12">
        <v>6</v>
      </c>
      <c r="P12">
        <v>7</v>
      </c>
      <c r="Q12">
        <v>3</v>
      </c>
      <c r="R12">
        <v>3</v>
      </c>
      <c r="S12">
        <v>3</v>
      </c>
      <c r="T12">
        <v>4</v>
      </c>
      <c r="U12">
        <v>2</v>
      </c>
      <c r="V12">
        <v>2</v>
      </c>
      <c r="W12">
        <v>3</v>
      </c>
      <c r="X12">
        <v>7</v>
      </c>
      <c r="Y12">
        <v>7</v>
      </c>
      <c r="Z12">
        <v>7</v>
      </c>
      <c r="AA12">
        <v>7</v>
      </c>
      <c r="AB12">
        <v>7</v>
      </c>
      <c r="AC12">
        <v>7</v>
      </c>
      <c r="AD12">
        <v>7</v>
      </c>
      <c r="AE12">
        <v>7</v>
      </c>
      <c r="AF12">
        <v>7</v>
      </c>
      <c r="AG12">
        <v>7</v>
      </c>
      <c r="AH12">
        <v>7</v>
      </c>
      <c r="AI12">
        <v>7</v>
      </c>
      <c r="AJ12">
        <v>7</v>
      </c>
      <c r="AK12">
        <v>7</v>
      </c>
      <c r="AL12">
        <v>6</v>
      </c>
      <c r="AM12">
        <v>7</v>
      </c>
      <c r="AN12">
        <v>6</v>
      </c>
      <c r="AO12">
        <v>5</v>
      </c>
      <c r="AP12">
        <v>4</v>
      </c>
      <c r="AQ12">
        <v>5</v>
      </c>
      <c r="AR12">
        <v>6</v>
      </c>
      <c r="AS12">
        <v>6</v>
      </c>
      <c r="AT12">
        <v>6</v>
      </c>
      <c r="AU12">
        <v>3</v>
      </c>
      <c r="AV12">
        <v>7</v>
      </c>
      <c r="AW12">
        <v>7</v>
      </c>
      <c r="AX12">
        <v>6</v>
      </c>
      <c r="AY12">
        <v>6</v>
      </c>
      <c r="AZ12">
        <v>6</v>
      </c>
      <c r="BA12">
        <v>6</v>
      </c>
      <c r="BB12">
        <v>6</v>
      </c>
      <c r="BC12">
        <v>6</v>
      </c>
      <c r="BD12" t="s">
        <v>73</v>
      </c>
      <c r="BE12" t="s">
        <v>75</v>
      </c>
      <c r="BF12" t="s">
        <v>74</v>
      </c>
      <c r="BG12" t="s">
        <v>77</v>
      </c>
      <c r="BH12" t="s">
        <v>76</v>
      </c>
      <c r="BI12" t="s">
        <v>78</v>
      </c>
      <c r="BJ12">
        <v>39</v>
      </c>
      <c r="BK12">
        <v>4</v>
      </c>
      <c r="BL12">
        <f>IF(Tabelle1[[#This Row],[Abschluss]]=2,1,0)</f>
        <v>0</v>
      </c>
      <c r="BM12">
        <f>IF(Tabelle1[[#This Row],[Abschluss]]=3,1,0)</f>
        <v>0</v>
      </c>
      <c r="BN12">
        <f>IF(Tabelle1[[#This Row],[Abschluss]]=4,1,0)</f>
        <v>1</v>
      </c>
      <c r="BO12">
        <f>IF(Tabelle1[[#This Row],[Abschluss]]=5,1,0)</f>
        <v>0</v>
      </c>
      <c r="BP12">
        <v>0</v>
      </c>
      <c r="BQ12">
        <f>IF(Tabelle1[[#This Row],[Vorwissen_tech]]=1,1,0)</f>
        <v>0</v>
      </c>
      <c r="BR12">
        <f>IF(Tabelle1[[#This Row],[Vorwissen_tech]]=2,1,0)</f>
        <v>0</v>
      </c>
      <c r="BS12">
        <v>1</v>
      </c>
      <c r="BT12">
        <f>IF(Tabelle1[[#This Row],[Vorwissen_fach]]=1,1,0)</f>
        <v>1</v>
      </c>
      <c r="BU12">
        <f>IF(Tabelle1[[#This Row],[Vorwissen_fach]]=2,1,0)</f>
        <v>0</v>
      </c>
      <c r="BV12">
        <f>IF(Tabelle1[[#This Row],[Vorwissen_tech]]=2,1,0)</f>
        <v>0</v>
      </c>
      <c r="BX12">
        <v>823.24</v>
      </c>
      <c r="BY12">
        <v>396.41</v>
      </c>
      <c r="BZ12">
        <v>79.010000000000005</v>
      </c>
      <c r="CA12">
        <v>31.87</v>
      </c>
      <c r="CB12">
        <v>43.17</v>
      </c>
      <c r="CC12">
        <v>102.68</v>
      </c>
      <c r="CD12">
        <v>85.39</v>
      </c>
      <c r="CE12">
        <v>64.11</v>
      </c>
      <c r="CF12">
        <v>20.6</v>
      </c>
    </row>
    <row r="13" spans="1:84" x14ac:dyDescent="0.2">
      <c r="A13">
        <v>79</v>
      </c>
      <c r="B13" t="s">
        <v>99</v>
      </c>
      <c r="C13">
        <v>8</v>
      </c>
      <c r="D13" t="s">
        <v>71</v>
      </c>
      <c r="E13">
        <v>1053509585</v>
      </c>
      <c r="F13" t="s">
        <v>100</v>
      </c>
      <c r="G13" t="s">
        <v>99</v>
      </c>
      <c r="H13">
        <v>3</v>
      </c>
      <c r="I13">
        <v>3</v>
      </c>
      <c r="J13">
        <v>4</v>
      </c>
      <c r="K13">
        <v>3</v>
      </c>
      <c r="L13">
        <v>4</v>
      </c>
      <c r="M13">
        <v>3</v>
      </c>
      <c r="N13">
        <v>3</v>
      </c>
      <c r="O13">
        <v>3</v>
      </c>
      <c r="P13">
        <v>4</v>
      </c>
      <c r="Q13">
        <v>4</v>
      </c>
      <c r="R13">
        <v>5</v>
      </c>
      <c r="S13">
        <v>5</v>
      </c>
      <c r="T13">
        <v>5</v>
      </c>
      <c r="U13">
        <v>5</v>
      </c>
      <c r="V13">
        <v>3</v>
      </c>
      <c r="W13">
        <v>4</v>
      </c>
      <c r="X13">
        <v>6</v>
      </c>
      <c r="Y13">
        <v>5</v>
      </c>
      <c r="Z13">
        <v>6</v>
      </c>
      <c r="AA13">
        <v>6</v>
      </c>
      <c r="AB13">
        <v>6</v>
      </c>
      <c r="AC13">
        <v>6</v>
      </c>
      <c r="AD13">
        <v>5</v>
      </c>
      <c r="AE13">
        <v>6</v>
      </c>
      <c r="AF13">
        <v>4</v>
      </c>
      <c r="AG13">
        <v>2</v>
      </c>
      <c r="AH13">
        <v>3</v>
      </c>
      <c r="AI13">
        <v>3</v>
      </c>
      <c r="AJ13">
        <v>2</v>
      </c>
      <c r="AK13">
        <v>4</v>
      </c>
      <c r="AL13">
        <v>3</v>
      </c>
      <c r="AM13">
        <v>3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4</v>
      </c>
      <c r="AU13">
        <v>5</v>
      </c>
      <c r="AV13">
        <v>6</v>
      </c>
      <c r="AW13">
        <v>6</v>
      </c>
      <c r="AX13">
        <v>6</v>
      </c>
      <c r="AY13">
        <v>6</v>
      </c>
      <c r="AZ13">
        <v>6</v>
      </c>
      <c r="BA13">
        <v>6</v>
      </c>
      <c r="BB13">
        <v>6</v>
      </c>
      <c r="BC13">
        <v>6</v>
      </c>
      <c r="BD13" t="s">
        <v>75</v>
      </c>
      <c r="BE13" t="s">
        <v>74</v>
      </c>
      <c r="BF13" t="s">
        <v>78</v>
      </c>
      <c r="BG13" t="s">
        <v>76</v>
      </c>
      <c r="BH13" t="s">
        <v>73</v>
      </c>
      <c r="BI13" t="s">
        <v>77</v>
      </c>
      <c r="BJ13">
        <v>46</v>
      </c>
      <c r="BK13">
        <v>5</v>
      </c>
      <c r="BL13">
        <f>IF(Tabelle1[[#This Row],[Abschluss]]=2,1,0)</f>
        <v>0</v>
      </c>
      <c r="BM13">
        <f>IF(Tabelle1[[#This Row],[Abschluss]]=3,1,0)</f>
        <v>0</v>
      </c>
      <c r="BN13">
        <f>IF(Tabelle1[[#This Row],[Abschluss]]=4,1,0)</f>
        <v>0</v>
      </c>
      <c r="BO13">
        <f>IF(Tabelle1[[#This Row],[Abschluss]]=5,1,0)</f>
        <v>1</v>
      </c>
      <c r="BP13">
        <v>1</v>
      </c>
      <c r="BQ13">
        <f>IF(Tabelle1[[#This Row],[Vorwissen_tech]]=1,1,0)</f>
        <v>1</v>
      </c>
      <c r="BR13">
        <f>IF(Tabelle1[[#This Row],[Vorwissen_tech]]=2,1,0)</f>
        <v>0</v>
      </c>
      <c r="BS13">
        <v>1</v>
      </c>
      <c r="BT13">
        <f>IF(Tabelle1[[#This Row],[Vorwissen_fach]]=1,1,0)</f>
        <v>1</v>
      </c>
      <c r="BU13">
        <f>IF(Tabelle1[[#This Row],[Vorwissen_fach]]=2,1,0)</f>
        <v>0</v>
      </c>
      <c r="BV13">
        <f>IF(Tabelle1[[#This Row],[Vorwissen_tech]]=2,1,0)</f>
        <v>0</v>
      </c>
      <c r="BX13">
        <v>545.54999999999995</v>
      </c>
      <c r="BY13">
        <v>75.37</v>
      </c>
      <c r="BZ13">
        <v>144.94</v>
      </c>
      <c r="CA13">
        <v>45.72</v>
      </c>
      <c r="CB13">
        <v>65.290000000000006</v>
      </c>
      <c r="CC13">
        <v>55.57</v>
      </c>
      <c r="CD13">
        <v>32.770000000000003</v>
      </c>
      <c r="CE13">
        <v>96.21</v>
      </c>
      <c r="CF13">
        <v>29.68</v>
      </c>
    </row>
    <row r="14" spans="1:84" x14ac:dyDescent="0.2">
      <c r="A14">
        <v>82</v>
      </c>
      <c r="B14" t="s">
        <v>101</v>
      </c>
      <c r="C14">
        <v>8</v>
      </c>
      <c r="D14" t="s">
        <v>71</v>
      </c>
      <c r="E14">
        <v>122332126</v>
      </c>
      <c r="F14" t="s">
        <v>102</v>
      </c>
      <c r="G14" t="s">
        <v>101</v>
      </c>
      <c r="H14">
        <v>4</v>
      </c>
      <c r="I14">
        <v>5</v>
      </c>
      <c r="J14">
        <v>6</v>
      </c>
      <c r="K14">
        <v>4</v>
      </c>
      <c r="L14">
        <v>6</v>
      </c>
      <c r="M14">
        <v>4</v>
      </c>
      <c r="N14">
        <v>4</v>
      </c>
      <c r="O14">
        <v>4</v>
      </c>
      <c r="P14">
        <v>3</v>
      </c>
      <c r="Q14">
        <v>4</v>
      </c>
      <c r="R14">
        <v>4</v>
      </c>
      <c r="S14">
        <v>4</v>
      </c>
      <c r="T14">
        <v>5</v>
      </c>
      <c r="U14">
        <v>4</v>
      </c>
      <c r="V14">
        <v>4</v>
      </c>
      <c r="W14">
        <v>4</v>
      </c>
      <c r="X14">
        <v>5</v>
      </c>
      <c r="Y14">
        <v>6</v>
      </c>
      <c r="Z14">
        <v>5</v>
      </c>
      <c r="AA14">
        <v>5</v>
      </c>
      <c r="AB14">
        <v>6</v>
      </c>
      <c r="AC14">
        <v>6</v>
      </c>
      <c r="AD14">
        <v>6</v>
      </c>
      <c r="AE14">
        <v>6</v>
      </c>
      <c r="AF14">
        <v>5</v>
      </c>
      <c r="AG14">
        <v>6</v>
      </c>
      <c r="AH14">
        <v>6</v>
      </c>
      <c r="AI14">
        <v>6</v>
      </c>
      <c r="AJ14">
        <v>6</v>
      </c>
      <c r="AK14">
        <v>3</v>
      </c>
      <c r="AL14">
        <v>6</v>
      </c>
      <c r="AM14">
        <v>5</v>
      </c>
      <c r="AN14">
        <v>1</v>
      </c>
      <c r="AO14">
        <v>1</v>
      </c>
      <c r="AP14">
        <v>1</v>
      </c>
      <c r="AQ14">
        <v>2</v>
      </c>
      <c r="AR14">
        <v>5</v>
      </c>
      <c r="AS14">
        <v>1</v>
      </c>
      <c r="AT14">
        <v>2</v>
      </c>
      <c r="AU14">
        <v>1</v>
      </c>
      <c r="AV14">
        <v>7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7</v>
      </c>
      <c r="BC14">
        <v>7</v>
      </c>
      <c r="BD14" t="s">
        <v>74</v>
      </c>
      <c r="BE14" t="s">
        <v>73</v>
      </c>
      <c r="BF14" t="s">
        <v>75</v>
      </c>
      <c r="BG14" t="s">
        <v>76</v>
      </c>
      <c r="BH14" t="s">
        <v>77</v>
      </c>
      <c r="BI14" t="s">
        <v>78</v>
      </c>
      <c r="BJ14">
        <v>39</v>
      </c>
      <c r="BK14">
        <v>3</v>
      </c>
      <c r="BL14">
        <f>IF(Tabelle1[[#This Row],[Abschluss]]=2,1,0)</f>
        <v>0</v>
      </c>
      <c r="BM14">
        <f>IF(Tabelle1[[#This Row],[Abschluss]]=3,1,0)</f>
        <v>1</v>
      </c>
      <c r="BN14">
        <f>IF(Tabelle1[[#This Row],[Abschluss]]=4,1,0)</f>
        <v>0</v>
      </c>
      <c r="BO14">
        <f>IF(Tabelle1[[#This Row],[Abschluss]]=5,1,0)</f>
        <v>0</v>
      </c>
      <c r="BP14">
        <v>2</v>
      </c>
      <c r="BQ14">
        <f>IF(Tabelle1[[#This Row],[Vorwissen_tech]]=1,1,0)</f>
        <v>0</v>
      </c>
      <c r="BR14">
        <f>IF(Tabelle1[[#This Row],[Vorwissen_tech]]=2,1,0)</f>
        <v>1</v>
      </c>
      <c r="BS14">
        <v>1</v>
      </c>
      <c r="BT14">
        <f>IF(Tabelle1[[#This Row],[Vorwissen_fach]]=1,1,0)</f>
        <v>1</v>
      </c>
      <c r="BU14">
        <f>IF(Tabelle1[[#This Row],[Vorwissen_fach]]=2,1,0)</f>
        <v>0</v>
      </c>
      <c r="BV14">
        <f>IF(Tabelle1[[#This Row],[Vorwissen_tech]]=2,1,0)</f>
        <v>1</v>
      </c>
      <c r="BX14">
        <v>911.25</v>
      </c>
      <c r="BY14">
        <v>88.21</v>
      </c>
      <c r="BZ14">
        <v>124.49</v>
      </c>
      <c r="CA14">
        <v>82.39</v>
      </c>
      <c r="CB14">
        <v>117.73</v>
      </c>
      <c r="CC14">
        <v>231.12</v>
      </c>
      <c r="CD14">
        <v>116.92</v>
      </c>
      <c r="CE14">
        <v>124.55</v>
      </c>
      <c r="CF14">
        <v>25.84</v>
      </c>
    </row>
    <row r="15" spans="1:84" x14ac:dyDescent="0.2">
      <c r="A15">
        <v>85</v>
      </c>
      <c r="B15" t="s">
        <v>103</v>
      </c>
      <c r="C15">
        <v>8</v>
      </c>
      <c r="D15" t="s">
        <v>71</v>
      </c>
      <c r="E15">
        <v>659229304</v>
      </c>
      <c r="F15" t="s">
        <v>104</v>
      </c>
      <c r="G15" t="s">
        <v>103</v>
      </c>
      <c r="H15">
        <v>5</v>
      </c>
      <c r="I15">
        <v>5</v>
      </c>
      <c r="J15">
        <v>5</v>
      </c>
      <c r="K15">
        <v>5</v>
      </c>
      <c r="L15">
        <v>5</v>
      </c>
      <c r="M15">
        <v>4</v>
      </c>
      <c r="N15">
        <v>3</v>
      </c>
      <c r="O15">
        <v>4</v>
      </c>
      <c r="P15">
        <v>4</v>
      </c>
      <c r="Q15">
        <v>4</v>
      </c>
      <c r="R15">
        <v>4</v>
      </c>
      <c r="S15">
        <v>3</v>
      </c>
      <c r="T15">
        <v>3</v>
      </c>
      <c r="U15">
        <v>4</v>
      </c>
      <c r="V15">
        <v>4</v>
      </c>
      <c r="W15">
        <v>4</v>
      </c>
      <c r="X15">
        <v>5</v>
      </c>
      <c r="Y15">
        <v>5</v>
      </c>
      <c r="Z15">
        <v>6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4</v>
      </c>
      <c r="AG15">
        <v>4</v>
      </c>
      <c r="AH15">
        <v>4</v>
      </c>
      <c r="AI15">
        <v>3</v>
      </c>
      <c r="AJ15">
        <v>4</v>
      </c>
      <c r="AK15">
        <v>4</v>
      </c>
      <c r="AL15">
        <v>2</v>
      </c>
      <c r="AM15">
        <v>3</v>
      </c>
      <c r="AN15">
        <v>1</v>
      </c>
      <c r="AO15">
        <v>2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7</v>
      </c>
      <c r="AW15">
        <v>7</v>
      </c>
      <c r="AX15">
        <v>7</v>
      </c>
      <c r="AY15">
        <v>7</v>
      </c>
      <c r="AZ15">
        <v>7</v>
      </c>
      <c r="BA15">
        <v>7</v>
      </c>
      <c r="BB15">
        <v>7</v>
      </c>
      <c r="BC15">
        <v>7</v>
      </c>
      <c r="BD15" t="s">
        <v>74</v>
      </c>
      <c r="BE15" t="s">
        <v>75</v>
      </c>
      <c r="BF15" t="s">
        <v>77</v>
      </c>
      <c r="BG15" t="s">
        <v>78</v>
      </c>
      <c r="BH15" t="s">
        <v>76</v>
      </c>
      <c r="BI15" t="s">
        <v>73</v>
      </c>
      <c r="BJ15">
        <v>32</v>
      </c>
      <c r="BK15">
        <v>4</v>
      </c>
      <c r="BL15">
        <f>IF(Tabelle1[[#This Row],[Abschluss]]=2,1,0)</f>
        <v>0</v>
      </c>
      <c r="BM15">
        <f>IF(Tabelle1[[#This Row],[Abschluss]]=3,1,0)</f>
        <v>0</v>
      </c>
      <c r="BN15">
        <f>IF(Tabelle1[[#This Row],[Abschluss]]=4,1,0)</f>
        <v>1</v>
      </c>
      <c r="BO15">
        <f>IF(Tabelle1[[#This Row],[Abschluss]]=5,1,0)</f>
        <v>0</v>
      </c>
      <c r="BP15">
        <v>1</v>
      </c>
      <c r="BQ15">
        <f>IF(Tabelle1[[#This Row],[Vorwissen_tech]]=1,1,0)</f>
        <v>1</v>
      </c>
      <c r="BR15">
        <f>IF(Tabelle1[[#This Row],[Vorwissen_tech]]=2,1,0)</f>
        <v>0</v>
      </c>
      <c r="BS15">
        <v>0</v>
      </c>
      <c r="BT15">
        <f>IF(Tabelle1[[#This Row],[Vorwissen_fach]]=1,1,0)</f>
        <v>0</v>
      </c>
      <c r="BU15">
        <f>IF(Tabelle1[[#This Row],[Vorwissen_fach]]=2,1,0)</f>
        <v>0</v>
      </c>
      <c r="BV15">
        <f>IF(Tabelle1[[#This Row],[Vorwissen_tech]]=2,1,0)</f>
        <v>0</v>
      </c>
      <c r="BX15">
        <v>610.04999999999995</v>
      </c>
      <c r="BY15">
        <v>73</v>
      </c>
      <c r="BZ15">
        <v>63.86</v>
      </c>
      <c r="CA15">
        <v>63.11</v>
      </c>
      <c r="CB15">
        <v>123.41</v>
      </c>
      <c r="CC15">
        <v>73.06</v>
      </c>
      <c r="CD15">
        <v>100.71</v>
      </c>
      <c r="CE15">
        <v>92.99</v>
      </c>
      <c r="CF15">
        <v>19.91</v>
      </c>
    </row>
    <row r="16" spans="1:84" x14ac:dyDescent="0.2">
      <c r="A16">
        <v>91</v>
      </c>
      <c r="B16" t="s">
        <v>105</v>
      </c>
      <c r="C16">
        <v>8</v>
      </c>
      <c r="D16" t="s">
        <v>71</v>
      </c>
      <c r="E16">
        <v>626013939</v>
      </c>
      <c r="F16" t="s">
        <v>106</v>
      </c>
      <c r="G16" t="s">
        <v>105</v>
      </c>
      <c r="H16">
        <v>1</v>
      </c>
      <c r="I16">
        <v>1</v>
      </c>
      <c r="J16">
        <v>1</v>
      </c>
      <c r="K16">
        <v>1</v>
      </c>
      <c r="L16">
        <v>2</v>
      </c>
      <c r="M16">
        <v>1</v>
      </c>
      <c r="N16">
        <v>2</v>
      </c>
      <c r="O16">
        <v>1</v>
      </c>
      <c r="P16">
        <v>3</v>
      </c>
      <c r="Q16">
        <v>5</v>
      </c>
      <c r="R16">
        <v>2</v>
      </c>
      <c r="S16">
        <v>4</v>
      </c>
      <c r="T16">
        <v>4</v>
      </c>
      <c r="U16">
        <v>3</v>
      </c>
      <c r="V16">
        <v>2</v>
      </c>
      <c r="W16">
        <v>3</v>
      </c>
      <c r="X16">
        <v>4</v>
      </c>
      <c r="Y16">
        <v>4</v>
      </c>
      <c r="Z16">
        <v>4</v>
      </c>
      <c r="AA16">
        <v>3</v>
      </c>
      <c r="AB16">
        <v>5</v>
      </c>
      <c r="AC16">
        <v>3</v>
      </c>
      <c r="AD16">
        <v>2</v>
      </c>
      <c r="AE16">
        <v>3</v>
      </c>
      <c r="AF16">
        <v>6</v>
      </c>
      <c r="AG16">
        <v>6</v>
      </c>
      <c r="AH16">
        <v>5</v>
      </c>
      <c r="AI16">
        <v>6</v>
      </c>
      <c r="AJ16">
        <v>7</v>
      </c>
      <c r="AK16">
        <v>3</v>
      </c>
      <c r="AL16">
        <v>6</v>
      </c>
      <c r="AM16">
        <v>5</v>
      </c>
      <c r="AN16">
        <v>4</v>
      </c>
      <c r="AO16">
        <v>2</v>
      </c>
      <c r="AP16">
        <v>2</v>
      </c>
      <c r="AQ16">
        <v>4</v>
      </c>
      <c r="AR16">
        <v>5</v>
      </c>
      <c r="AS16">
        <v>2</v>
      </c>
      <c r="AT16">
        <v>3</v>
      </c>
      <c r="AU16">
        <v>2</v>
      </c>
      <c r="AV16">
        <v>3</v>
      </c>
      <c r="AW16">
        <v>5</v>
      </c>
      <c r="AX16">
        <v>3</v>
      </c>
      <c r="AY16">
        <v>3</v>
      </c>
      <c r="AZ16">
        <v>4</v>
      </c>
      <c r="BA16">
        <v>2</v>
      </c>
      <c r="BB16">
        <v>2</v>
      </c>
      <c r="BC16">
        <v>5</v>
      </c>
      <c r="BD16" t="s">
        <v>73</v>
      </c>
      <c r="BE16" t="s">
        <v>78</v>
      </c>
      <c r="BF16" t="s">
        <v>75</v>
      </c>
      <c r="BG16" t="s">
        <v>74</v>
      </c>
      <c r="BH16" t="s">
        <v>76</v>
      </c>
      <c r="BI16" t="s">
        <v>77</v>
      </c>
      <c r="BJ16">
        <v>27</v>
      </c>
      <c r="BK16">
        <v>1</v>
      </c>
      <c r="BL16">
        <f>IF(Tabelle1[[#This Row],[Abschluss]]=2,1,0)</f>
        <v>0</v>
      </c>
      <c r="BM16">
        <f>IF(Tabelle1[[#This Row],[Abschluss]]=3,1,0)</f>
        <v>0</v>
      </c>
      <c r="BN16">
        <f>IF(Tabelle1[[#This Row],[Abschluss]]=4,1,0)</f>
        <v>0</v>
      </c>
      <c r="BO16">
        <f>IF(Tabelle1[[#This Row],[Abschluss]]=5,1,0)</f>
        <v>0</v>
      </c>
      <c r="BP16">
        <v>0</v>
      </c>
      <c r="BQ16">
        <f>IF(Tabelle1[[#This Row],[Vorwissen_tech]]=1,1,0)</f>
        <v>0</v>
      </c>
      <c r="BR16">
        <f>IF(Tabelle1[[#This Row],[Vorwissen_tech]]=2,1,0)</f>
        <v>0</v>
      </c>
      <c r="BS16">
        <v>0</v>
      </c>
      <c r="BT16">
        <f>IF(Tabelle1[[#This Row],[Vorwissen_fach]]=1,1,0)</f>
        <v>0</v>
      </c>
      <c r="BU16">
        <f>IF(Tabelle1[[#This Row],[Vorwissen_fach]]=2,1,0)</f>
        <v>0</v>
      </c>
      <c r="BV16">
        <f>IF(Tabelle1[[#This Row],[Vorwissen_tech]]=2,1,0)</f>
        <v>0</v>
      </c>
      <c r="BX16">
        <v>864.49</v>
      </c>
      <c r="BY16">
        <v>108.28</v>
      </c>
      <c r="BZ16">
        <v>172.51</v>
      </c>
      <c r="CA16">
        <v>111.86</v>
      </c>
      <c r="CB16">
        <v>97.05</v>
      </c>
      <c r="CC16">
        <v>85.8</v>
      </c>
      <c r="CD16">
        <v>110.16</v>
      </c>
      <c r="CE16">
        <v>143.38999999999999</v>
      </c>
      <c r="CF16">
        <v>35.44</v>
      </c>
    </row>
    <row r="17" spans="1:84" x14ac:dyDescent="0.2">
      <c r="A17">
        <v>94</v>
      </c>
      <c r="B17" t="s">
        <v>107</v>
      </c>
      <c r="C17">
        <v>8</v>
      </c>
      <c r="D17" t="s">
        <v>71</v>
      </c>
      <c r="E17">
        <v>957533647</v>
      </c>
      <c r="F17" t="s">
        <v>108</v>
      </c>
      <c r="G17" t="s">
        <v>107</v>
      </c>
      <c r="H17">
        <v>5</v>
      </c>
      <c r="I17">
        <v>5</v>
      </c>
      <c r="J17">
        <v>6</v>
      </c>
      <c r="K17">
        <v>5</v>
      </c>
      <c r="L17">
        <v>5</v>
      </c>
      <c r="M17">
        <v>3</v>
      </c>
      <c r="N17">
        <v>5</v>
      </c>
      <c r="O17">
        <v>6</v>
      </c>
      <c r="P17">
        <v>5</v>
      </c>
      <c r="Q17">
        <v>4</v>
      </c>
      <c r="R17">
        <v>5</v>
      </c>
      <c r="S17">
        <v>4</v>
      </c>
      <c r="T17">
        <v>5</v>
      </c>
      <c r="U17">
        <v>3</v>
      </c>
      <c r="V17">
        <v>4</v>
      </c>
      <c r="W17">
        <v>5</v>
      </c>
      <c r="X17">
        <v>7</v>
      </c>
      <c r="Y17">
        <v>7</v>
      </c>
      <c r="Z17">
        <v>7</v>
      </c>
      <c r="AA17">
        <v>7</v>
      </c>
      <c r="AB17">
        <v>7</v>
      </c>
      <c r="AC17">
        <v>6</v>
      </c>
      <c r="AD17">
        <v>7</v>
      </c>
      <c r="AE17">
        <v>7</v>
      </c>
      <c r="AF17">
        <v>6</v>
      </c>
      <c r="AG17">
        <v>6</v>
      </c>
      <c r="AH17">
        <v>5</v>
      </c>
      <c r="AI17">
        <v>4</v>
      </c>
      <c r="AJ17">
        <v>5</v>
      </c>
      <c r="AK17">
        <v>4</v>
      </c>
      <c r="AL17">
        <v>5</v>
      </c>
      <c r="AM17">
        <v>5</v>
      </c>
      <c r="AN17">
        <v>5</v>
      </c>
      <c r="AO17">
        <v>4</v>
      </c>
      <c r="AP17">
        <v>4</v>
      </c>
      <c r="AQ17">
        <v>5</v>
      </c>
      <c r="AR17">
        <v>4</v>
      </c>
      <c r="AS17">
        <v>4</v>
      </c>
      <c r="AT17">
        <v>5</v>
      </c>
      <c r="AU17">
        <v>5</v>
      </c>
      <c r="AV17">
        <v>7</v>
      </c>
      <c r="AW17">
        <v>7</v>
      </c>
      <c r="AX17">
        <v>7</v>
      </c>
      <c r="AY17">
        <v>6</v>
      </c>
      <c r="AZ17">
        <v>7</v>
      </c>
      <c r="BA17">
        <v>7</v>
      </c>
      <c r="BB17">
        <v>7</v>
      </c>
      <c r="BC17">
        <v>6</v>
      </c>
      <c r="BD17" t="s">
        <v>74</v>
      </c>
      <c r="BE17" t="s">
        <v>75</v>
      </c>
      <c r="BF17" t="s">
        <v>73</v>
      </c>
      <c r="BG17" t="s">
        <v>77</v>
      </c>
      <c r="BH17" t="s">
        <v>76</v>
      </c>
      <c r="BI17" t="s">
        <v>78</v>
      </c>
      <c r="BJ17">
        <v>25</v>
      </c>
      <c r="BK17">
        <v>3</v>
      </c>
      <c r="BL17">
        <f>IF(Tabelle1[[#This Row],[Abschluss]]=2,1,0)</f>
        <v>0</v>
      </c>
      <c r="BM17">
        <f>IF(Tabelle1[[#This Row],[Abschluss]]=3,1,0)</f>
        <v>1</v>
      </c>
      <c r="BN17">
        <f>IF(Tabelle1[[#This Row],[Abschluss]]=4,1,0)</f>
        <v>0</v>
      </c>
      <c r="BO17">
        <f>IF(Tabelle1[[#This Row],[Abschluss]]=5,1,0)</f>
        <v>0</v>
      </c>
      <c r="BP17">
        <v>1</v>
      </c>
      <c r="BQ17">
        <f>IF(Tabelle1[[#This Row],[Vorwissen_tech]]=1,1,0)</f>
        <v>1</v>
      </c>
      <c r="BR17">
        <f>IF(Tabelle1[[#This Row],[Vorwissen_tech]]=2,1,0)</f>
        <v>0</v>
      </c>
      <c r="BS17">
        <v>0</v>
      </c>
      <c r="BT17">
        <f>IF(Tabelle1[[#This Row],[Vorwissen_fach]]=1,1,0)</f>
        <v>0</v>
      </c>
      <c r="BU17">
        <f>IF(Tabelle1[[#This Row],[Vorwissen_fach]]=2,1,0)</f>
        <v>0</v>
      </c>
      <c r="BV17">
        <f>IF(Tabelle1[[#This Row],[Vorwissen_tech]]=2,1,0)</f>
        <v>0</v>
      </c>
      <c r="BX17">
        <v>548.98</v>
      </c>
      <c r="BY17">
        <v>105.1</v>
      </c>
      <c r="BZ17">
        <v>136.69999999999999</v>
      </c>
      <c r="CA17">
        <v>52.95</v>
      </c>
      <c r="CB17">
        <v>79.81</v>
      </c>
      <c r="CC17">
        <v>45.75</v>
      </c>
      <c r="CD17">
        <v>95.74</v>
      </c>
      <c r="CE17">
        <v>23.89</v>
      </c>
      <c r="CF17">
        <v>9.0399999999999991</v>
      </c>
    </row>
    <row r="18" spans="1:84" x14ac:dyDescent="0.2">
      <c r="A18">
        <v>97</v>
      </c>
      <c r="B18" t="s">
        <v>109</v>
      </c>
      <c r="C18">
        <v>8</v>
      </c>
      <c r="D18" t="s">
        <v>71</v>
      </c>
      <c r="E18">
        <v>305322854</v>
      </c>
      <c r="F18" t="s">
        <v>110</v>
      </c>
      <c r="G18" t="s">
        <v>109</v>
      </c>
      <c r="H18">
        <v>7</v>
      </c>
      <c r="I18">
        <v>7</v>
      </c>
      <c r="J18">
        <v>7</v>
      </c>
      <c r="K18">
        <v>7</v>
      </c>
      <c r="L18">
        <v>6</v>
      </c>
      <c r="M18">
        <v>7</v>
      </c>
      <c r="N18">
        <v>7</v>
      </c>
      <c r="O18">
        <v>7</v>
      </c>
      <c r="P18">
        <v>6</v>
      </c>
      <c r="Q18">
        <v>7</v>
      </c>
      <c r="R18">
        <v>7</v>
      </c>
      <c r="S18">
        <v>7</v>
      </c>
      <c r="T18">
        <v>7</v>
      </c>
      <c r="U18">
        <v>6</v>
      </c>
      <c r="V18">
        <v>7</v>
      </c>
      <c r="W18">
        <v>7</v>
      </c>
      <c r="X18">
        <v>6</v>
      </c>
      <c r="Y18">
        <v>6</v>
      </c>
      <c r="Z18">
        <v>6</v>
      </c>
      <c r="AA18">
        <v>6</v>
      </c>
      <c r="AB18">
        <v>7</v>
      </c>
      <c r="AC18">
        <v>6</v>
      </c>
      <c r="AD18">
        <v>7</v>
      </c>
      <c r="AE18">
        <v>6</v>
      </c>
      <c r="AF18">
        <v>6</v>
      </c>
      <c r="AG18">
        <v>6</v>
      </c>
      <c r="AH18">
        <v>7</v>
      </c>
      <c r="AI18">
        <v>7</v>
      </c>
      <c r="AJ18">
        <v>6</v>
      </c>
      <c r="AK18">
        <v>5</v>
      </c>
      <c r="AL18">
        <v>6</v>
      </c>
      <c r="AM18">
        <v>6</v>
      </c>
      <c r="AN18">
        <v>4</v>
      </c>
      <c r="AO18">
        <v>5</v>
      </c>
      <c r="AP18">
        <v>5</v>
      </c>
      <c r="AQ18">
        <v>4</v>
      </c>
      <c r="AR18">
        <v>4</v>
      </c>
      <c r="AS18">
        <v>5</v>
      </c>
      <c r="AT18">
        <v>5</v>
      </c>
      <c r="AU18">
        <v>4</v>
      </c>
      <c r="AV18">
        <v>7</v>
      </c>
      <c r="AW18">
        <v>7</v>
      </c>
      <c r="AX18">
        <v>7</v>
      </c>
      <c r="AY18">
        <v>7</v>
      </c>
      <c r="AZ18">
        <v>7</v>
      </c>
      <c r="BA18">
        <v>7</v>
      </c>
      <c r="BB18">
        <v>7</v>
      </c>
      <c r="BC18">
        <v>7</v>
      </c>
      <c r="BD18" t="s">
        <v>74</v>
      </c>
      <c r="BE18" t="s">
        <v>73</v>
      </c>
      <c r="BF18" t="s">
        <v>75</v>
      </c>
      <c r="BG18" t="s">
        <v>76</v>
      </c>
      <c r="BH18" t="s">
        <v>77</v>
      </c>
      <c r="BI18" t="s">
        <v>78</v>
      </c>
      <c r="BJ18">
        <v>26</v>
      </c>
      <c r="BK18">
        <v>3</v>
      </c>
      <c r="BL18">
        <f>IF(Tabelle1[[#This Row],[Abschluss]]=2,1,0)</f>
        <v>0</v>
      </c>
      <c r="BM18">
        <f>IF(Tabelle1[[#This Row],[Abschluss]]=3,1,0)</f>
        <v>1</v>
      </c>
      <c r="BN18">
        <f>IF(Tabelle1[[#This Row],[Abschluss]]=4,1,0)</f>
        <v>0</v>
      </c>
      <c r="BO18">
        <f>IF(Tabelle1[[#This Row],[Abschluss]]=5,1,0)</f>
        <v>0</v>
      </c>
      <c r="BP18">
        <v>0</v>
      </c>
      <c r="BQ18">
        <f>IF(Tabelle1[[#This Row],[Vorwissen_tech]]=1,1,0)</f>
        <v>0</v>
      </c>
      <c r="BR18">
        <f>IF(Tabelle1[[#This Row],[Vorwissen_tech]]=2,1,0)</f>
        <v>0</v>
      </c>
      <c r="BS18">
        <v>1</v>
      </c>
      <c r="BT18">
        <f>IF(Tabelle1[[#This Row],[Vorwissen_fach]]=1,1,0)</f>
        <v>1</v>
      </c>
      <c r="BU18">
        <f>IF(Tabelle1[[#This Row],[Vorwissen_fach]]=2,1,0)</f>
        <v>0</v>
      </c>
      <c r="BV18">
        <f>IF(Tabelle1[[#This Row],[Vorwissen_tech]]=2,1,0)</f>
        <v>0</v>
      </c>
      <c r="BX18">
        <v>1041.8</v>
      </c>
      <c r="BY18">
        <v>66.58</v>
      </c>
      <c r="BZ18">
        <v>164.65</v>
      </c>
      <c r="CA18">
        <v>106.34</v>
      </c>
      <c r="CB18">
        <v>102.97</v>
      </c>
      <c r="CC18">
        <v>337.33</v>
      </c>
      <c r="CD18">
        <v>57.89</v>
      </c>
      <c r="CE18">
        <v>182.73</v>
      </c>
      <c r="CF18">
        <v>23.31</v>
      </c>
    </row>
    <row r="19" spans="1:84" x14ac:dyDescent="0.2">
      <c r="A19">
        <v>127</v>
      </c>
      <c r="B19" t="s">
        <v>111</v>
      </c>
      <c r="C19">
        <v>8</v>
      </c>
      <c r="D19" t="s">
        <v>71</v>
      </c>
      <c r="E19">
        <v>2086178003</v>
      </c>
      <c r="F19" t="s">
        <v>112</v>
      </c>
      <c r="G19" t="s">
        <v>111</v>
      </c>
      <c r="H19">
        <v>4</v>
      </c>
      <c r="I19">
        <v>4</v>
      </c>
      <c r="J19">
        <v>3</v>
      </c>
      <c r="K19">
        <v>4</v>
      </c>
      <c r="L19">
        <v>4</v>
      </c>
      <c r="M19">
        <v>3</v>
      </c>
      <c r="N19">
        <v>3</v>
      </c>
      <c r="O19">
        <v>3</v>
      </c>
      <c r="P19">
        <v>2</v>
      </c>
      <c r="Q19">
        <v>2</v>
      </c>
      <c r="R19">
        <v>1</v>
      </c>
      <c r="S19">
        <v>2</v>
      </c>
      <c r="T19">
        <v>2</v>
      </c>
      <c r="U19">
        <v>2</v>
      </c>
      <c r="V19">
        <v>1</v>
      </c>
      <c r="W19">
        <v>2</v>
      </c>
      <c r="X19">
        <v>5</v>
      </c>
      <c r="Y19">
        <v>5</v>
      </c>
      <c r="Z19">
        <v>6</v>
      </c>
      <c r="AA19">
        <v>6</v>
      </c>
      <c r="AB19">
        <v>4</v>
      </c>
      <c r="AC19">
        <v>6</v>
      </c>
      <c r="AD19">
        <v>6</v>
      </c>
      <c r="AE19">
        <v>5</v>
      </c>
      <c r="AF19">
        <v>4</v>
      </c>
      <c r="AG19">
        <v>3</v>
      </c>
      <c r="AH19">
        <v>5</v>
      </c>
      <c r="AI19">
        <v>4</v>
      </c>
      <c r="AJ19">
        <v>3</v>
      </c>
      <c r="AK19">
        <v>4</v>
      </c>
      <c r="AL19">
        <v>2</v>
      </c>
      <c r="AM19">
        <v>2</v>
      </c>
      <c r="AN19">
        <v>3</v>
      </c>
      <c r="AO19">
        <v>2</v>
      </c>
      <c r="AP19">
        <v>2</v>
      </c>
      <c r="AQ19">
        <v>3</v>
      </c>
      <c r="AR19">
        <v>2</v>
      </c>
      <c r="AS19">
        <v>4</v>
      </c>
      <c r="AT19">
        <v>2</v>
      </c>
      <c r="AU19">
        <v>2</v>
      </c>
      <c r="AV19">
        <v>6</v>
      </c>
      <c r="AW19">
        <v>6</v>
      </c>
      <c r="AX19">
        <v>5</v>
      </c>
      <c r="AY19">
        <v>6</v>
      </c>
      <c r="AZ19">
        <v>6</v>
      </c>
      <c r="BA19">
        <v>5</v>
      </c>
      <c r="BB19">
        <v>5</v>
      </c>
      <c r="BC19">
        <v>6</v>
      </c>
      <c r="BD19" t="s">
        <v>74</v>
      </c>
      <c r="BE19" t="s">
        <v>75</v>
      </c>
      <c r="BF19" t="s">
        <v>77</v>
      </c>
      <c r="BG19" t="s">
        <v>78</v>
      </c>
      <c r="BH19" t="s">
        <v>73</v>
      </c>
      <c r="BI19" t="s">
        <v>76</v>
      </c>
      <c r="BJ19">
        <v>30</v>
      </c>
      <c r="BK19">
        <v>4</v>
      </c>
      <c r="BL19">
        <f>IF(Tabelle1[[#This Row],[Abschluss]]=2,1,0)</f>
        <v>0</v>
      </c>
      <c r="BM19">
        <f>IF(Tabelle1[[#This Row],[Abschluss]]=3,1,0)</f>
        <v>0</v>
      </c>
      <c r="BN19">
        <f>IF(Tabelle1[[#This Row],[Abschluss]]=4,1,0)</f>
        <v>1</v>
      </c>
      <c r="BO19">
        <f>IF(Tabelle1[[#This Row],[Abschluss]]=5,1,0)</f>
        <v>0</v>
      </c>
      <c r="BP19">
        <v>1</v>
      </c>
      <c r="BQ19">
        <f>IF(Tabelle1[[#This Row],[Vorwissen_tech]]=1,1,0)</f>
        <v>1</v>
      </c>
      <c r="BR19">
        <f>IF(Tabelle1[[#This Row],[Vorwissen_tech]]=2,1,0)</f>
        <v>0</v>
      </c>
      <c r="BS19">
        <v>0</v>
      </c>
      <c r="BT19">
        <f>IF(Tabelle1[[#This Row],[Vorwissen_fach]]=1,1,0)</f>
        <v>0</v>
      </c>
      <c r="BU19">
        <f>IF(Tabelle1[[#This Row],[Vorwissen_fach]]=2,1,0)</f>
        <v>0</v>
      </c>
      <c r="BV19">
        <f>IF(Tabelle1[[#This Row],[Vorwissen_tech]]=2,1,0)</f>
        <v>0</v>
      </c>
      <c r="BX19">
        <v>1915.29</v>
      </c>
      <c r="BY19">
        <v>144.26</v>
      </c>
      <c r="BZ19">
        <v>250.55</v>
      </c>
      <c r="CA19">
        <v>468.23</v>
      </c>
      <c r="CB19">
        <v>347.33</v>
      </c>
      <c r="CC19">
        <v>427.36</v>
      </c>
      <c r="CD19">
        <v>162.35</v>
      </c>
      <c r="CE19">
        <v>95.04</v>
      </c>
      <c r="CF19">
        <v>20.170000000000002</v>
      </c>
    </row>
    <row r="20" spans="1:84" x14ac:dyDescent="0.2">
      <c r="A20">
        <v>136</v>
      </c>
      <c r="B20" t="s">
        <v>113</v>
      </c>
      <c r="C20">
        <v>8</v>
      </c>
      <c r="D20" t="s">
        <v>71</v>
      </c>
      <c r="E20">
        <v>452417739</v>
      </c>
      <c r="F20" t="s">
        <v>114</v>
      </c>
      <c r="G20" t="s">
        <v>113</v>
      </c>
      <c r="H20">
        <v>2</v>
      </c>
      <c r="I20">
        <v>3</v>
      </c>
      <c r="J20">
        <v>2</v>
      </c>
      <c r="K20">
        <v>2</v>
      </c>
      <c r="L20">
        <v>3</v>
      </c>
      <c r="M20">
        <v>1</v>
      </c>
      <c r="N20">
        <v>1</v>
      </c>
      <c r="O20">
        <v>1</v>
      </c>
      <c r="P20">
        <v>2</v>
      </c>
      <c r="Q20">
        <v>3</v>
      </c>
      <c r="R20">
        <v>3</v>
      </c>
      <c r="S20">
        <v>1</v>
      </c>
      <c r="T20">
        <v>2</v>
      </c>
      <c r="U20">
        <v>1</v>
      </c>
      <c r="V20">
        <v>2</v>
      </c>
      <c r="W20">
        <v>1</v>
      </c>
      <c r="X20">
        <v>5</v>
      </c>
      <c r="Y20">
        <v>6</v>
      </c>
      <c r="Z20">
        <v>5</v>
      </c>
      <c r="AA20">
        <v>3</v>
      </c>
      <c r="AB20">
        <v>4</v>
      </c>
      <c r="AC20">
        <v>5</v>
      </c>
      <c r="AD20">
        <v>4</v>
      </c>
      <c r="AE20">
        <v>3</v>
      </c>
      <c r="AF20">
        <v>5</v>
      </c>
      <c r="AG20">
        <v>6</v>
      </c>
      <c r="AH20">
        <v>5</v>
      </c>
      <c r="AI20">
        <v>7</v>
      </c>
      <c r="AJ20">
        <v>6</v>
      </c>
      <c r="AK20">
        <v>5</v>
      </c>
      <c r="AL20">
        <v>6</v>
      </c>
      <c r="AM20">
        <v>5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6</v>
      </c>
      <c r="AW20">
        <v>7</v>
      </c>
      <c r="AX20">
        <v>5</v>
      </c>
      <c r="AY20">
        <v>5</v>
      </c>
      <c r="AZ20">
        <v>6</v>
      </c>
      <c r="BA20">
        <v>5</v>
      </c>
      <c r="BB20">
        <v>6</v>
      </c>
      <c r="BC20">
        <v>5</v>
      </c>
      <c r="BD20" t="s">
        <v>73</v>
      </c>
      <c r="BE20" t="s">
        <v>74</v>
      </c>
      <c r="BF20" t="s">
        <v>75</v>
      </c>
      <c r="BG20" t="s">
        <v>77</v>
      </c>
      <c r="BH20" t="s">
        <v>76</v>
      </c>
      <c r="BI20" t="s">
        <v>78</v>
      </c>
      <c r="BJ20">
        <v>29</v>
      </c>
      <c r="BK20">
        <v>4</v>
      </c>
      <c r="BL20">
        <f>IF(Tabelle1[[#This Row],[Abschluss]]=2,1,0)</f>
        <v>0</v>
      </c>
      <c r="BM20">
        <f>IF(Tabelle1[[#This Row],[Abschluss]]=3,1,0)</f>
        <v>0</v>
      </c>
      <c r="BN20">
        <f>IF(Tabelle1[[#This Row],[Abschluss]]=4,1,0)</f>
        <v>1</v>
      </c>
      <c r="BO20">
        <f>IF(Tabelle1[[#This Row],[Abschluss]]=5,1,0)</f>
        <v>0</v>
      </c>
      <c r="BP20">
        <v>0</v>
      </c>
      <c r="BQ20">
        <f>IF(Tabelle1[[#This Row],[Vorwissen_tech]]=1,1,0)</f>
        <v>0</v>
      </c>
      <c r="BR20">
        <f>IF(Tabelle1[[#This Row],[Vorwissen_tech]]=2,1,0)</f>
        <v>0</v>
      </c>
      <c r="BS20">
        <v>0</v>
      </c>
      <c r="BT20">
        <f>IF(Tabelle1[[#This Row],[Vorwissen_fach]]=1,1,0)</f>
        <v>0</v>
      </c>
      <c r="BU20">
        <f>IF(Tabelle1[[#This Row],[Vorwissen_fach]]=2,1,0)</f>
        <v>0</v>
      </c>
      <c r="BV20">
        <f>IF(Tabelle1[[#This Row],[Vorwissen_tech]]=2,1,0)</f>
        <v>0</v>
      </c>
      <c r="BX20">
        <v>827.18</v>
      </c>
      <c r="BY20">
        <v>155.47</v>
      </c>
      <c r="BZ20">
        <v>89.01</v>
      </c>
      <c r="CA20">
        <v>158.16999999999999</v>
      </c>
      <c r="CB20">
        <v>110.59</v>
      </c>
      <c r="CC20">
        <v>54.69</v>
      </c>
      <c r="CD20">
        <v>179.94</v>
      </c>
      <c r="CE20">
        <v>62.28</v>
      </c>
      <c r="CF20">
        <v>17.03</v>
      </c>
    </row>
    <row r="21" spans="1:84" x14ac:dyDescent="0.2">
      <c r="A21">
        <v>142</v>
      </c>
      <c r="B21" t="s">
        <v>115</v>
      </c>
      <c r="C21">
        <v>8</v>
      </c>
      <c r="D21" t="s">
        <v>71</v>
      </c>
      <c r="E21">
        <v>709520847</v>
      </c>
      <c r="F21" t="s">
        <v>116</v>
      </c>
      <c r="G21" t="s">
        <v>115</v>
      </c>
      <c r="H21">
        <v>7</v>
      </c>
      <c r="I21">
        <v>5</v>
      </c>
      <c r="J21">
        <v>3</v>
      </c>
      <c r="K21">
        <v>5</v>
      </c>
      <c r="L21">
        <v>5</v>
      </c>
      <c r="M21">
        <v>4</v>
      </c>
      <c r="N21">
        <v>2</v>
      </c>
      <c r="O21">
        <v>2</v>
      </c>
      <c r="P21">
        <v>4</v>
      </c>
      <c r="Q21">
        <v>2</v>
      </c>
      <c r="R21">
        <v>1</v>
      </c>
      <c r="S21">
        <v>1</v>
      </c>
      <c r="T21">
        <v>3</v>
      </c>
      <c r="U21">
        <v>4</v>
      </c>
      <c r="V21">
        <v>1</v>
      </c>
      <c r="W21">
        <v>1</v>
      </c>
      <c r="X21">
        <v>7</v>
      </c>
      <c r="Y21">
        <v>7</v>
      </c>
      <c r="Z21">
        <v>7</v>
      </c>
      <c r="AA21">
        <v>7</v>
      </c>
      <c r="AB21">
        <v>7</v>
      </c>
      <c r="AC21">
        <v>7</v>
      </c>
      <c r="AD21">
        <v>7</v>
      </c>
      <c r="AE21">
        <v>7</v>
      </c>
      <c r="AF21">
        <v>7</v>
      </c>
      <c r="AG21">
        <v>7</v>
      </c>
      <c r="AH21">
        <v>7</v>
      </c>
      <c r="AI21">
        <v>7</v>
      </c>
      <c r="AJ21">
        <v>7</v>
      </c>
      <c r="AK21">
        <v>7</v>
      </c>
      <c r="AL21">
        <v>7</v>
      </c>
      <c r="AM21">
        <v>7</v>
      </c>
      <c r="AN21">
        <v>2</v>
      </c>
      <c r="AO21">
        <v>1</v>
      </c>
      <c r="AP21">
        <v>1</v>
      </c>
      <c r="AQ21">
        <v>4</v>
      </c>
      <c r="AR21">
        <v>5</v>
      </c>
      <c r="AS21">
        <v>7</v>
      </c>
      <c r="AT21">
        <v>1</v>
      </c>
      <c r="AU21">
        <v>1</v>
      </c>
      <c r="AV21">
        <v>4</v>
      </c>
      <c r="AW21">
        <v>7</v>
      </c>
      <c r="AX21">
        <v>4</v>
      </c>
      <c r="AY21">
        <v>7</v>
      </c>
      <c r="AZ21">
        <v>7</v>
      </c>
      <c r="BA21">
        <v>2</v>
      </c>
      <c r="BB21">
        <v>6</v>
      </c>
      <c r="BC21">
        <v>4</v>
      </c>
      <c r="BD21" t="s">
        <v>75</v>
      </c>
      <c r="BE21" t="s">
        <v>73</v>
      </c>
      <c r="BF21" t="s">
        <v>74</v>
      </c>
      <c r="BG21" t="s">
        <v>77</v>
      </c>
      <c r="BH21" t="s">
        <v>78</v>
      </c>
      <c r="BI21" t="s">
        <v>76</v>
      </c>
      <c r="BJ21">
        <v>26</v>
      </c>
      <c r="BK21">
        <v>3</v>
      </c>
      <c r="BL21">
        <f>IF(Tabelle1[[#This Row],[Abschluss]]=2,1,0)</f>
        <v>0</v>
      </c>
      <c r="BM21">
        <f>IF(Tabelle1[[#This Row],[Abschluss]]=3,1,0)</f>
        <v>1</v>
      </c>
      <c r="BN21">
        <f>IF(Tabelle1[[#This Row],[Abschluss]]=4,1,0)</f>
        <v>0</v>
      </c>
      <c r="BO21">
        <f>IF(Tabelle1[[#This Row],[Abschluss]]=5,1,0)</f>
        <v>0</v>
      </c>
      <c r="BP21">
        <v>0</v>
      </c>
      <c r="BQ21">
        <f>IF(Tabelle1[[#This Row],[Vorwissen_tech]]=1,1,0)</f>
        <v>0</v>
      </c>
      <c r="BR21">
        <f>IF(Tabelle1[[#This Row],[Vorwissen_tech]]=2,1,0)</f>
        <v>0</v>
      </c>
      <c r="BS21">
        <v>0</v>
      </c>
      <c r="BT21">
        <f>IF(Tabelle1[[#This Row],[Vorwissen_fach]]=1,1,0)</f>
        <v>0</v>
      </c>
      <c r="BU21">
        <f>IF(Tabelle1[[#This Row],[Vorwissen_fach]]=2,1,0)</f>
        <v>0</v>
      </c>
      <c r="BV21">
        <f>IF(Tabelle1[[#This Row],[Vorwissen_tech]]=2,1,0)</f>
        <v>0</v>
      </c>
      <c r="BX21">
        <v>722.81</v>
      </c>
      <c r="BY21">
        <v>102.02</v>
      </c>
      <c r="BZ21">
        <v>67.66</v>
      </c>
      <c r="CA21">
        <v>142.55000000000001</v>
      </c>
      <c r="CB21">
        <v>54.08</v>
      </c>
      <c r="CC21">
        <v>134.51</v>
      </c>
      <c r="CD21">
        <v>148.74</v>
      </c>
      <c r="CE21">
        <v>55.47</v>
      </c>
      <c r="CF21">
        <v>17.78</v>
      </c>
    </row>
    <row r="22" spans="1:84" x14ac:dyDescent="0.2">
      <c r="A22">
        <v>148</v>
      </c>
      <c r="B22" t="s">
        <v>117</v>
      </c>
      <c r="C22">
        <v>8</v>
      </c>
      <c r="D22" t="s">
        <v>71</v>
      </c>
      <c r="E22">
        <v>1089101205</v>
      </c>
      <c r="F22" t="s">
        <v>118</v>
      </c>
      <c r="G22" t="s">
        <v>117</v>
      </c>
      <c r="H22">
        <v>7</v>
      </c>
      <c r="I22">
        <v>7</v>
      </c>
      <c r="J22">
        <v>7</v>
      </c>
      <c r="K22">
        <v>7</v>
      </c>
      <c r="L22">
        <v>7</v>
      </c>
      <c r="M22">
        <v>6</v>
      </c>
      <c r="N22">
        <v>5</v>
      </c>
      <c r="O22">
        <v>7</v>
      </c>
      <c r="P22">
        <v>5</v>
      </c>
      <c r="Q22">
        <v>6</v>
      </c>
      <c r="R22">
        <v>6</v>
      </c>
      <c r="S22">
        <v>6</v>
      </c>
      <c r="T22">
        <v>6</v>
      </c>
      <c r="U22">
        <v>7</v>
      </c>
      <c r="V22">
        <v>2</v>
      </c>
      <c r="W22">
        <v>6</v>
      </c>
      <c r="X22">
        <v>5</v>
      </c>
      <c r="Y22">
        <v>5</v>
      </c>
      <c r="Z22">
        <v>3</v>
      </c>
      <c r="AA22">
        <v>6</v>
      </c>
      <c r="AB22">
        <v>6</v>
      </c>
      <c r="AC22">
        <v>6</v>
      </c>
      <c r="AD22">
        <v>3</v>
      </c>
      <c r="AE22">
        <v>6</v>
      </c>
      <c r="AF22">
        <v>5</v>
      </c>
      <c r="AG22">
        <v>6</v>
      </c>
      <c r="AH22">
        <v>5</v>
      </c>
      <c r="AI22">
        <v>5</v>
      </c>
      <c r="AJ22">
        <v>6</v>
      </c>
      <c r="AK22">
        <v>5</v>
      </c>
      <c r="AL22">
        <v>1</v>
      </c>
      <c r="AM22">
        <v>5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7</v>
      </c>
      <c r="AW22">
        <v>7</v>
      </c>
      <c r="AX22">
        <v>7</v>
      </c>
      <c r="AY22">
        <v>7</v>
      </c>
      <c r="AZ22">
        <v>7</v>
      </c>
      <c r="BA22">
        <v>6</v>
      </c>
      <c r="BB22">
        <v>3</v>
      </c>
      <c r="BC22">
        <v>6</v>
      </c>
      <c r="BD22" t="s">
        <v>74</v>
      </c>
      <c r="BE22" t="s">
        <v>75</v>
      </c>
      <c r="BF22" t="s">
        <v>76</v>
      </c>
      <c r="BG22" t="s">
        <v>77</v>
      </c>
      <c r="BH22" t="s">
        <v>73</v>
      </c>
      <c r="BI22" t="s">
        <v>78</v>
      </c>
      <c r="BJ22">
        <v>48</v>
      </c>
      <c r="BK22">
        <v>4</v>
      </c>
      <c r="BL22">
        <f>IF(Tabelle1[[#This Row],[Abschluss]]=2,1,0)</f>
        <v>0</v>
      </c>
      <c r="BM22">
        <f>IF(Tabelle1[[#This Row],[Abschluss]]=3,1,0)</f>
        <v>0</v>
      </c>
      <c r="BN22">
        <f>IF(Tabelle1[[#This Row],[Abschluss]]=4,1,0)</f>
        <v>1</v>
      </c>
      <c r="BO22">
        <f>IF(Tabelle1[[#This Row],[Abschluss]]=5,1,0)</f>
        <v>0</v>
      </c>
      <c r="BP22">
        <v>0</v>
      </c>
      <c r="BQ22">
        <f>IF(Tabelle1[[#This Row],[Vorwissen_tech]]=1,1,0)</f>
        <v>0</v>
      </c>
      <c r="BR22">
        <f>IF(Tabelle1[[#This Row],[Vorwissen_tech]]=2,1,0)</f>
        <v>0</v>
      </c>
      <c r="BS22">
        <v>1</v>
      </c>
      <c r="BT22">
        <f>IF(Tabelle1[[#This Row],[Vorwissen_fach]]=1,1,0)</f>
        <v>1</v>
      </c>
      <c r="BU22">
        <f>IF(Tabelle1[[#This Row],[Vorwissen_fach]]=2,1,0)</f>
        <v>0</v>
      </c>
      <c r="BV22">
        <f>IF(Tabelle1[[#This Row],[Vorwissen_tech]]=2,1,0)</f>
        <v>0</v>
      </c>
      <c r="BX22">
        <v>1214.23</v>
      </c>
      <c r="BY22">
        <v>206.08</v>
      </c>
      <c r="BZ22">
        <v>170.04</v>
      </c>
      <c r="CA22">
        <v>168.61</v>
      </c>
      <c r="CB22">
        <v>142.01</v>
      </c>
      <c r="CC22">
        <v>110.82</v>
      </c>
      <c r="CD22">
        <v>114.56</v>
      </c>
      <c r="CE22">
        <v>216.84</v>
      </c>
      <c r="CF22">
        <v>85.27</v>
      </c>
    </row>
    <row r="23" spans="1:84" x14ac:dyDescent="0.2">
      <c r="A23">
        <v>151</v>
      </c>
      <c r="B23" t="s">
        <v>119</v>
      </c>
      <c r="C23">
        <v>8</v>
      </c>
      <c r="D23" t="s">
        <v>71</v>
      </c>
      <c r="E23">
        <v>321281969</v>
      </c>
      <c r="F23" t="s">
        <v>120</v>
      </c>
      <c r="G23" t="s">
        <v>119</v>
      </c>
      <c r="H23">
        <v>5</v>
      </c>
      <c r="I23">
        <v>7</v>
      </c>
      <c r="J23">
        <v>6</v>
      </c>
      <c r="K23">
        <v>4</v>
      </c>
      <c r="L23">
        <v>4</v>
      </c>
      <c r="M23">
        <v>5</v>
      </c>
      <c r="N23">
        <v>7</v>
      </c>
      <c r="O23">
        <v>5</v>
      </c>
      <c r="P23">
        <v>5</v>
      </c>
      <c r="Q23">
        <v>7</v>
      </c>
      <c r="R23">
        <v>5</v>
      </c>
      <c r="S23">
        <v>3</v>
      </c>
      <c r="T23">
        <v>4</v>
      </c>
      <c r="U23">
        <v>4</v>
      </c>
      <c r="V23">
        <v>2</v>
      </c>
      <c r="W23">
        <v>5</v>
      </c>
      <c r="X23">
        <v>6</v>
      </c>
      <c r="Y23">
        <v>7</v>
      </c>
      <c r="Z23">
        <v>6</v>
      </c>
      <c r="AA23">
        <v>5</v>
      </c>
      <c r="AB23">
        <v>5</v>
      </c>
      <c r="AC23">
        <v>4</v>
      </c>
      <c r="AD23">
        <v>3</v>
      </c>
      <c r="AE23">
        <v>4</v>
      </c>
      <c r="AF23">
        <v>7</v>
      </c>
      <c r="AG23">
        <v>7</v>
      </c>
      <c r="AH23">
        <v>6</v>
      </c>
      <c r="AI23">
        <v>7</v>
      </c>
      <c r="AJ23">
        <v>7</v>
      </c>
      <c r="AK23">
        <v>7</v>
      </c>
      <c r="AL23">
        <v>7</v>
      </c>
      <c r="AM23">
        <v>5</v>
      </c>
      <c r="AN23">
        <v>5</v>
      </c>
      <c r="AO23">
        <v>7</v>
      </c>
      <c r="AP23">
        <v>2</v>
      </c>
      <c r="AQ23">
        <v>7</v>
      </c>
      <c r="AR23">
        <v>5</v>
      </c>
      <c r="AS23">
        <v>4</v>
      </c>
      <c r="AT23">
        <v>7</v>
      </c>
      <c r="AU23">
        <v>6</v>
      </c>
      <c r="AV23">
        <v>7</v>
      </c>
      <c r="AW23">
        <v>7</v>
      </c>
      <c r="AX23">
        <v>6</v>
      </c>
      <c r="AY23">
        <v>6</v>
      </c>
      <c r="AZ23">
        <v>6</v>
      </c>
      <c r="BA23">
        <v>6</v>
      </c>
      <c r="BB23">
        <v>7</v>
      </c>
      <c r="BC23">
        <v>7</v>
      </c>
      <c r="BD23" t="s">
        <v>73</v>
      </c>
      <c r="BE23" t="s">
        <v>74</v>
      </c>
      <c r="BF23" t="s">
        <v>78</v>
      </c>
      <c r="BG23" t="s">
        <v>77</v>
      </c>
      <c r="BH23" t="s">
        <v>76</v>
      </c>
      <c r="BI23" t="s">
        <v>75</v>
      </c>
      <c r="BJ23">
        <v>25</v>
      </c>
      <c r="BK23">
        <v>4</v>
      </c>
      <c r="BL23">
        <f>IF(Tabelle1[[#This Row],[Abschluss]]=2,1,0)</f>
        <v>0</v>
      </c>
      <c r="BM23">
        <f>IF(Tabelle1[[#This Row],[Abschluss]]=3,1,0)</f>
        <v>0</v>
      </c>
      <c r="BN23">
        <f>IF(Tabelle1[[#This Row],[Abschluss]]=4,1,0)</f>
        <v>1</v>
      </c>
      <c r="BO23">
        <f>IF(Tabelle1[[#This Row],[Abschluss]]=5,1,0)</f>
        <v>0</v>
      </c>
      <c r="BP23">
        <v>2</v>
      </c>
      <c r="BQ23">
        <f>IF(Tabelle1[[#This Row],[Vorwissen_tech]]=1,1,0)</f>
        <v>0</v>
      </c>
      <c r="BR23">
        <f>IF(Tabelle1[[#This Row],[Vorwissen_tech]]=2,1,0)</f>
        <v>1</v>
      </c>
      <c r="BS23">
        <v>0</v>
      </c>
      <c r="BT23">
        <f>IF(Tabelle1[[#This Row],[Vorwissen_fach]]=1,1,0)</f>
        <v>0</v>
      </c>
      <c r="BU23">
        <f>IF(Tabelle1[[#This Row],[Vorwissen_fach]]=2,1,0)</f>
        <v>0</v>
      </c>
      <c r="BV23">
        <f>IF(Tabelle1[[#This Row],[Vorwissen_tech]]=2,1,0)</f>
        <v>1</v>
      </c>
      <c r="BX23">
        <v>543.92999999999995</v>
      </c>
      <c r="BY23">
        <v>61.95</v>
      </c>
      <c r="BZ23">
        <v>77.3</v>
      </c>
      <c r="CA23">
        <v>62.03</v>
      </c>
      <c r="CB23">
        <v>61.24</v>
      </c>
      <c r="CC23">
        <v>109.72</v>
      </c>
      <c r="CD23">
        <v>87.56</v>
      </c>
      <c r="CE23">
        <v>61.36</v>
      </c>
      <c r="CF23">
        <v>22.77</v>
      </c>
    </row>
    <row r="24" spans="1:84" x14ac:dyDescent="0.2">
      <c r="A24">
        <v>154</v>
      </c>
      <c r="B24" t="s">
        <v>121</v>
      </c>
      <c r="C24">
        <v>8</v>
      </c>
      <c r="D24" t="s">
        <v>71</v>
      </c>
      <c r="E24">
        <v>1006348254</v>
      </c>
      <c r="F24" t="s">
        <v>122</v>
      </c>
      <c r="G24" t="s">
        <v>121</v>
      </c>
      <c r="H24">
        <v>2</v>
      </c>
      <c r="I24">
        <v>6</v>
      </c>
      <c r="J24">
        <v>5</v>
      </c>
      <c r="K24">
        <v>1</v>
      </c>
      <c r="L24">
        <v>5</v>
      </c>
      <c r="M24">
        <v>7</v>
      </c>
      <c r="N24">
        <v>6</v>
      </c>
      <c r="O24">
        <v>1</v>
      </c>
      <c r="P24">
        <v>5</v>
      </c>
      <c r="Q24">
        <v>7</v>
      </c>
      <c r="R24">
        <v>2</v>
      </c>
      <c r="S24">
        <v>4</v>
      </c>
      <c r="T24">
        <v>7</v>
      </c>
      <c r="U24">
        <v>5</v>
      </c>
      <c r="V24">
        <v>4</v>
      </c>
      <c r="W24">
        <v>5</v>
      </c>
      <c r="X24">
        <v>7</v>
      </c>
      <c r="Y24">
        <v>7</v>
      </c>
      <c r="Z24">
        <v>7</v>
      </c>
      <c r="AA24">
        <v>7</v>
      </c>
      <c r="AB24">
        <v>7</v>
      </c>
      <c r="AC24">
        <v>7</v>
      </c>
      <c r="AD24">
        <v>7</v>
      </c>
      <c r="AE24">
        <v>7</v>
      </c>
      <c r="AF24">
        <v>6</v>
      </c>
      <c r="AG24">
        <v>3</v>
      </c>
      <c r="AH24">
        <v>3</v>
      </c>
      <c r="AI24">
        <v>5</v>
      </c>
      <c r="AJ24">
        <v>6</v>
      </c>
      <c r="AK24">
        <v>5</v>
      </c>
      <c r="AL24">
        <v>3</v>
      </c>
      <c r="AM24">
        <v>3</v>
      </c>
      <c r="AN24">
        <v>2</v>
      </c>
      <c r="AO24">
        <v>5</v>
      </c>
      <c r="AP24">
        <v>2</v>
      </c>
      <c r="AQ24">
        <v>5</v>
      </c>
      <c r="AR24">
        <v>6</v>
      </c>
      <c r="AS24">
        <v>1</v>
      </c>
      <c r="AT24">
        <v>5</v>
      </c>
      <c r="AU24">
        <v>1</v>
      </c>
      <c r="AV24">
        <v>6</v>
      </c>
      <c r="AW24">
        <v>6</v>
      </c>
      <c r="AX24">
        <v>6</v>
      </c>
      <c r="AY24">
        <v>5</v>
      </c>
      <c r="AZ24">
        <v>6</v>
      </c>
      <c r="BA24">
        <v>1</v>
      </c>
      <c r="BB24">
        <v>4</v>
      </c>
      <c r="BC24">
        <v>1</v>
      </c>
      <c r="BD24" t="s">
        <v>75</v>
      </c>
      <c r="BE24" t="s">
        <v>74</v>
      </c>
      <c r="BF24" t="s">
        <v>78</v>
      </c>
      <c r="BG24" t="s">
        <v>77</v>
      </c>
      <c r="BH24" t="s">
        <v>73</v>
      </c>
      <c r="BI24" t="s">
        <v>76</v>
      </c>
      <c r="BJ24">
        <v>35</v>
      </c>
      <c r="BK24">
        <v>4</v>
      </c>
      <c r="BL24">
        <f>IF(Tabelle1[[#This Row],[Abschluss]]=2,1,0)</f>
        <v>0</v>
      </c>
      <c r="BM24">
        <f>IF(Tabelle1[[#This Row],[Abschluss]]=3,1,0)</f>
        <v>0</v>
      </c>
      <c r="BN24">
        <f>IF(Tabelle1[[#This Row],[Abschluss]]=4,1,0)</f>
        <v>1</v>
      </c>
      <c r="BO24">
        <f>IF(Tabelle1[[#This Row],[Abschluss]]=5,1,0)</f>
        <v>0</v>
      </c>
      <c r="BP24">
        <v>1</v>
      </c>
      <c r="BQ24">
        <f>IF(Tabelle1[[#This Row],[Vorwissen_tech]]=1,1,0)</f>
        <v>1</v>
      </c>
      <c r="BR24">
        <f>IF(Tabelle1[[#This Row],[Vorwissen_tech]]=2,1,0)</f>
        <v>0</v>
      </c>
      <c r="BS24">
        <v>0</v>
      </c>
      <c r="BT24">
        <f>IF(Tabelle1[[#This Row],[Vorwissen_fach]]=1,1,0)</f>
        <v>0</v>
      </c>
      <c r="BU24">
        <f>IF(Tabelle1[[#This Row],[Vorwissen_fach]]=2,1,0)</f>
        <v>0</v>
      </c>
      <c r="BV24">
        <f>IF(Tabelle1[[#This Row],[Vorwissen_tech]]=2,1,0)</f>
        <v>0</v>
      </c>
      <c r="BX24">
        <v>1616.14</v>
      </c>
      <c r="BY24">
        <v>174.83</v>
      </c>
      <c r="BZ24">
        <v>273.95999999999998</v>
      </c>
      <c r="CA24">
        <v>97.47</v>
      </c>
      <c r="CB24">
        <v>264.35000000000002</v>
      </c>
      <c r="CC24">
        <v>279.51</v>
      </c>
      <c r="CD24">
        <v>268.23</v>
      </c>
      <c r="CE24">
        <v>225.39</v>
      </c>
      <c r="CF24">
        <v>32.4</v>
      </c>
    </row>
    <row r="25" spans="1:84" x14ac:dyDescent="0.2">
      <c r="A25">
        <v>157</v>
      </c>
      <c r="B25" t="s">
        <v>123</v>
      </c>
      <c r="C25">
        <v>8</v>
      </c>
      <c r="D25" t="s">
        <v>71</v>
      </c>
      <c r="E25">
        <v>1351557638</v>
      </c>
      <c r="F25" t="s">
        <v>124</v>
      </c>
      <c r="G25" t="s">
        <v>123</v>
      </c>
      <c r="H25">
        <v>4</v>
      </c>
      <c r="I25">
        <v>4</v>
      </c>
      <c r="J25">
        <v>3</v>
      </c>
      <c r="K25">
        <v>4</v>
      </c>
      <c r="L25">
        <v>4</v>
      </c>
      <c r="M25">
        <v>4</v>
      </c>
      <c r="N25">
        <v>3</v>
      </c>
      <c r="O25">
        <v>3</v>
      </c>
      <c r="P25">
        <v>4</v>
      </c>
      <c r="Q25">
        <v>3</v>
      </c>
      <c r="R25">
        <v>2</v>
      </c>
      <c r="S25">
        <v>3</v>
      </c>
      <c r="T25">
        <v>3</v>
      </c>
      <c r="U25">
        <v>3</v>
      </c>
      <c r="V25">
        <v>2</v>
      </c>
      <c r="W25">
        <v>2</v>
      </c>
      <c r="X25">
        <v>7</v>
      </c>
      <c r="Y25">
        <v>7</v>
      </c>
      <c r="Z25">
        <v>7</v>
      </c>
      <c r="AA25">
        <v>7</v>
      </c>
      <c r="AB25">
        <v>7</v>
      </c>
      <c r="AC25">
        <v>7</v>
      </c>
      <c r="AD25">
        <v>7</v>
      </c>
      <c r="AE25">
        <v>7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2</v>
      </c>
      <c r="AO25">
        <v>3</v>
      </c>
      <c r="AP25">
        <v>1</v>
      </c>
      <c r="AQ25">
        <v>2</v>
      </c>
      <c r="AR25">
        <v>2</v>
      </c>
      <c r="AS25">
        <v>5</v>
      </c>
      <c r="AT25">
        <v>1</v>
      </c>
      <c r="AU25">
        <v>1</v>
      </c>
      <c r="AV25">
        <v>6</v>
      </c>
      <c r="AW25">
        <v>7</v>
      </c>
      <c r="AX25">
        <v>7</v>
      </c>
      <c r="AY25">
        <v>7</v>
      </c>
      <c r="AZ25">
        <v>7</v>
      </c>
      <c r="BA25">
        <v>7</v>
      </c>
      <c r="BB25">
        <v>6</v>
      </c>
      <c r="BC25">
        <v>7</v>
      </c>
      <c r="BD25" t="s">
        <v>75</v>
      </c>
      <c r="BE25" t="s">
        <v>74</v>
      </c>
      <c r="BF25" t="s">
        <v>77</v>
      </c>
      <c r="BG25" t="s">
        <v>78</v>
      </c>
      <c r="BH25" t="s">
        <v>76</v>
      </c>
      <c r="BI25" t="s">
        <v>73</v>
      </c>
      <c r="BJ25">
        <v>42</v>
      </c>
      <c r="BK25">
        <v>5</v>
      </c>
      <c r="BL25">
        <f>IF(Tabelle1[[#This Row],[Abschluss]]=2,1,0)</f>
        <v>0</v>
      </c>
      <c r="BM25">
        <f>IF(Tabelle1[[#This Row],[Abschluss]]=3,1,0)</f>
        <v>0</v>
      </c>
      <c r="BN25">
        <f>IF(Tabelle1[[#This Row],[Abschluss]]=4,1,0)</f>
        <v>0</v>
      </c>
      <c r="BO25">
        <f>IF(Tabelle1[[#This Row],[Abschluss]]=5,1,0)</f>
        <v>1</v>
      </c>
      <c r="BP25">
        <v>0</v>
      </c>
      <c r="BQ25">
        <f>IF(Tabelle1[[#This Row],[Vorwissen_tech]]=1,1,0)</f>
        <v>0</v>
      </c>
      <c r="BR25">
        <f>IF(Tabelle1[[#This Row],[Vorwissen_tech]]=2,1,0)</f>
        <v>0</v>
      </c>
      <c r="BS25">
        <v>1</v>
      </c>
      <c r="BT25">
        <f>IF(Tabelle1[[#This Row],[Vorwissen_fach]]=1,1,0)</f>
        <v>1</v>
      </c>
      <c r="BU25">
        <f>IF(Tabelle1[[#This Row],[Vorwissen_fach]]=2,1,0)</f>
        <v>0</v>
      </c>
      <c r="BV25">
        <f>IF(Tabelle1[[#This Row],[Vorwissen_tech]]=2,1,0)</f>
        <v>0</v>
      </c>
      <c r="BX25">
        <v>707.32</v>
      </c>
      <c r="BY25">
        <v>66.400000000000006</v>
      </c>
      <c r="BZ25">
        <v>96.76</v>
      </c>
      <c r="CA25">
        <v>50.09</v>
      </c>
      <c r="CB25">
        <v>96.07</v>
      </c>
      <c r="CC25">
        <v>138.44999999999999</v>
      </c>
      <c r="CD25">
        <v>117.53</v>
      </c>
      <c r="CE25">
        <v>106.01</v>
      </c>
      <c r="CF25">
        <v>36.01</v>
      </c>
    </row>
    <row r="26" spans="1:84" x14ac:dyDescent="0.2">
      <c r="A26">
        <v>160</v>
      </c>
      <c r="B26" t="s">
        <v>125</v>
      </c>
      <c r="C26">
        <v>8</v>
      </c>
      <c r="D26" t="s">
        <v>71</v>
      </c>
      <c r="E26">
        <v>548561294</v>
      </c>
      <c r="F26" t="s">
        <v>126</v>
      </c>
      <c r="G26" t="s">
        <v>125</v>
      </c>
      <c r="H26">
        <v>6</v>
      </c>
      <c r="I26">
        <v>6</v>
      </c>
      <c r="J26">
        <v>5</v>
      </c>
      <c r="K26">
        <v>6</v>
      </c>
      <c r="L26">
        <v>6</v>
      </c>
      <c r="M26">
        <v>6</v>
      </c>
      <c r="N26">
        <v>6</v>
      </c>
      <c r="O26">
        <v>5</v>
      </c>
      <c r="P26">
        <v>1</v>
      </c>
      <c r="Q26">
        <v>2</v>
      </c>
      <c r="R26">
        <v>1</v>
      </c>
      <c r="S26">
        <v>1</v>
      </c>
      <c r="T26">
        <v>1</v>
      </c>
      <c r="U26">
        <v>4</v>
      </c>
      <c r="V26">
        <v>1</v>
      </c>
      <c r="W26">
        <v>1</v>
      </c>
      <c r="X26">
        <v>4</v>
      </c>
      <c r="Y26">
        <v>6</v>
      </c>
      <c r="Z26">
        <v>6</v>
      </c>
      <c r="AA26">
        <v>6</v>
      </c>
      <c r="AB26">
        <v>6</v>
      </c>
      <c r="AC26">
        <v>7</v>
      </c>
      <c r="AD26">
        <v>7</v>
      </c>
      <c r="AE26">
        <v>7</v>
      </c>
      <c r="AF26">
        <v>3</v>
      </c>
      <c r="AG26">
        <v>6</v>
      </c>
      <c r="AH26">
        <v>6</v>
      </c>
      <c r="AI26">
        <v>7</v>
      </c>
      <c r="AJ26">
        <v>6</v>
      </c>
      <c r="AK26">
        <v>1</v>
      </c>
      <c r="AL26">
        <v>6</v>
      </c>
      <c r="AM26">
        <v>5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4</v>
      </c>
      <c r="AT26">
        <v>1</v>
      </c>
      <c r="AU26">
        <v>1</v>
      </c>
      <c r="AV26">
        <v>4</v>
      </c>
      <c r="AW26">
        <v>7</v>
      </c>
      <c r="AX26">
        <v>7</v>
      </c>
      <c r="AY26">
        <v>6</v>
      </c>
      <c r="AZ26">
        <v>7</v>
      </c>
      <c r="BA26">
        <v>6</v>
      </c>
      <c r="BB26">
        <v>7</v>
      </c>
      <c r="BC26">
        <v>7</v>
      </c>
      <c r="BD26" t="s">
        <v>74</v>
      </c>
      <c r="BE26" t="s">
        <v>75</v>
      </c>
      <c r="BF26" t="s">
        <v>77</v>
      </c>
      <c r="BG26" t="s">
        <v>73</v>
      </c>
      <c r="BH26" t="s">
        <v>76</v>
      </c>
      <c r="BI26" t="s">
        <v>78</v>
      </c>
      <c r="BJ26">
        <v>25</v>
      </c>
      <c r="BK26">
        <v>4</v>
      </c>
      <c r="BL26">
        <f>IF(Tabelle1[[#This Row],[Abschluss]]=2,1,0)</f>
        <v>0</v>
      </c>
      <c r="BM26">
        <f>IF(Tabelle1[[#This Row],[Abschluss]]=3,1,0)</f>
        <v>0</v>
      </c>
      <c r="BN26">
        <f>IF(Tabelle1[[#This Row],[Abschluss]]=4,1,0)</f>
        <v>1</v>
      </c>
      <c r="BO26">
        <f>IF(Tabelle1[[#This Row],[Abschluss]]=5,1,0)</f>
        <v>0</v>
      </c>
      <c r="BP26">
        <v>0</v>
      </c>
      <c r="BQ26">
        <f>IF(Tabelle1[[#This Row],[Vorwissen_tech]]=1,1,0)</f>
        <v>0</v>
      </c>
      <c r="BR26">
        <f>IF(Tabelle1[[#This Row],[Vorwissen_tech]]=2,1,0)</f>
        <v>0</v>
      </c>
      <c r="BS26">
        <v>0</v>
      </c>
      <c r="BT26">
        <f>IF(Tabelle1[[#This Row],[Vorwissen_fach]]=1,1,0)</f>
        <v>0</v>
      </c>
      <c r="BU26">
        <f>IF(Tabelle1[[#This Row],[Vorwissen_fach]]=2,1,0)</f>
        <v>0</v>
      </c>
      <c r="BV26">
        <f>IF(Tabelle1[[#This Row],[Vorwissen_tech]]=2,1,0)</f>
        <v>0</v>
      </c>
      <c r="BX26">
        <v>1142.67</v>
      </c>
      <c r="BY26">
        <v>125.48</v>
      </c>
      <c r="BZ26">
        <v>136.53</v>
      </c>
      <c r="CA26">
        <v>198.95</v>
      </c>
      <c r="CB26">
        <v>286.60000000000002</v>
      </c>
      <c r="CC26">
        <v>159.26</v>
      </c>
      <c r="CD26">
        <v>131.35</v>
      </c>
      <c r="CE26">
        <v>78.930000000000007</v>
      </c>
      <c r="CF26">
        <v>25.57</v>
      </c>
    </row>
    <row r="27" spans="1:84" x14ac:dyDescent="0.2">
      <c r="A27">
        <v>166</v>
      </c>
      <c r="B27" t="s">
        <v>127</v>
      </c>
      <c r="C27">
        <v>8</v>
      </c>
      <c r="D27" t="s">
        <v>71</v>
      </c>
      <c r="E27">
        <v>402063214</v>
      </c>
      <c r="F27" t="s">
        <v>128</v>
      </c>
      <c r="G27" t="s">
        <v>127</v>
      </c>
      <c r="H27">
        <v>4</v>
      </c>
      <c r="I27">
        <v>5</v>
      </c>
      <c r="J27">
        <v>5</v>
      </c>
      <c r="K27">
        <v>6</v>
      </c>
      <c r="L27">
        <v>2</v>
      </c>
      <c r="M27">
        <v>6</v>
      </c>
      <c r="N27">
        <v>2</v>
      </c>
      <c r="O27">
        <v>3</v>
      </c>
      <c r="P27">
        <v>3</v>
      </c>
      <c r="Q27">
        <v>3</v>
      </c>
      <c r="R27">
        <v>3</v>
      </c>
      <c r="S27">
        <v>5</v>
      </c>
      <c r="T27">
        <v>4</v>
      </c>
      <c r="U27">
        <v>5</v>
      </c>
      <c r="V27">
        <v>3</v>
      </c>
      <c r="W27">
        <v>2</v>
      </c>
      <c r="X27">
        <v>3</v>
      </c>
      <c r="Y27">
        <v>4</v>
      </c>
      <c r="Z27">
        <v>5</v>
      </c>
      <c r="AA27">
        <v>5</v>
      </c>
      <c r="AB27">
        <v>5</v>
      </c>
      <c r="AC27">
        <v>5</v>
      </c>
      <c r="AD27">
        <v>4</v>
      </c>
      <c r="AE27">
        <v>4</v>
      </c>
      <c r="AF27">
        <v>3</v>
      </c>
      <c r="AG27">
        <v>5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3</v>
      </c>
      <c r="AO27">
        <v>4</v>
      </c>
      <c r="AP27">
        <v>5</v>
      </c>
      <c r="AQ27">
        <v>4</v>
      </c>
      <c r="AR27">
        <v>3</v>
      </c>
      <c r="AS27">
        <v>4</v>
      </c>
      <c r="AT27">
        <v>5</v>
      </c>
      <c r="AU27">
        <v>4</v>
      </c>
      <c r="AV27">
        <v>5</v>
      </c>
      <c r="AW27">
        <v>4</v>
      </c>
      <c r="AX27">
        <v>6</v>
      </c>
      <c r="AY27">
        <v>5</v>
      </c>
      <c r="AZ27">
        <v>5</v>
      </c>
      <c r="BA27">
        <v>3</v>
      </c>
      <c r="BB27">
        <v>3</v>
      </c>
      <c r="BC27">
        <v>3</v>
      </c>
      <c r="BD27" t="s">
        <v>78</v>
      </c>
      <c r="BE27" t="s">
        <v>73</v>
      </c>
      <c r="BF27" t="s">
        <v>74</v>
      </c>
      <c r="BG27" t="s">
        <v>76</v>
      </c>
      <c r="BH27" t="s">
        <v>77</v>
      </c>
      <c r="BI27" t="s">
        <v>75</v>
      </c>
      <c r="BJ27">
        <v>24</v>
      </c>
      <c r="BK27">
        <v>3</v>
      </c>
      <c r="BL27">
        <f>IF(Tabelle1[[#This Row],[Abschluss]]=2,1,0)</f>
        <v>0</v>
      </c>
      <c r="BM27">
        <f>IF(Tabelle1[[#This Row],[Abschluss]]=3,1,0)</f>
        <v>1</v>
      </c>
      <c r="BN27">
        <f>IF(Tabelle1[[#This Row],[Abschluss]]=4,1,0)</f>
        <v>0</v>
      </c>
      <c r="BO27">
        <f>IF(Tabelle1[[#This Row],[Abschluss]]=5,1,0)</f>
        <v>0</v>
      </c>
      <c r="BP27">
        <v>0</v>
      </c>
      <c r="BQ27">
        <f>IF(Tabelle1[[#This Row],[Vorwissen_tech]]=1,1,0)</f>
        <v>0</v>
      </c>
      <c r="BR27">
        <f>IF(Tabelle1[[#This Row],[Vorwissen_tech]]=2,1,0)</f>
        <v>0</v>
      </c>
      <c r="BS27">
        <v>0</v>
      </c>
      <c r="BT27">
        <f>IF(Tabelle1[[#This Row],[Vorwissen_fach]]=1,1,0)</f>
        <v>0</v>
      </c>
      <c r="BU27">
        <f>IF(Tabelle1[[#This Row],[Vorwissen_fach]]=2,1,0)</f>
        <v>0</v>
      </c>
      <c r="BV27">
        <f>IF(Tabelle1[[#This Row],[Vorwissen_tech]]=2,1,0)</f>
        <v>0</v>
      </c>
      <c r="BX27">
        <v>341.03</v>
      </c>
      <c r="BY27">
        <v>13.47</v>
      </c>
      <c r="BZ27">
        <v>40.72</v>
      </c>
      <c r="CA27">
        <v>22.37</v>
      </c>
      <c r="CB27">
        <v>56.59</v>
      </c>
      <c r="CC27">
        <v>26.24</v>
      </c>
      <c r="CD27">
        <v>69.239999999999995</v>
      </c>
      <c r="CE27">
        <v>90.55</v>
      </c>
      <c r="CF27">
        <v>21.85</v>
      </c>
    </row>
    <row r="28" spans="1:84" x14ac:dyDescent="0.2">
      <c r="A28">
        <v>169</v>
      </c>
      <c r="B28" t="s">
        <v>129</v>
      </c>
      <c r="C28">
        <v>8</v>
      </c>
      <c r="D28" t="s">
        <v>71</v>
      </c>
      <c r="E28">
        <v>368945567</v>
      </c>
      <c r="F28" t="s">
        <v>130</v>
      </c>
      <c r="G28" t="s">
        <v>129</v>
      </c>
      <c r="H28">
        <v>6</v>
      </c>
      <c r="I28">
        <v>6</v>
      </c>
      <c r="J28">
        <v>6</v>
      </c>
      <c r="K28">
        <v>6</v>
      </c>
      <c r="L28">
        <v>6</v>
      </c>
      <c r="M28">
        <v>6</v>
      </c>
      <c r="N28">
        <v>4</v>
      </c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  <c r="U28">
        <v>6</v>
      </c>
      <c r="V28">
        <v>4</v>
      </c>
      <c r="W28">
        <v>6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6</v>
      </c>
      <c r="AG28">
        <v>6</v>
      </c>
      <c r="AH28">
        <v>6</v>
      </c>
      <c r="AI28">
        <v>6</v>
      </c>
      <c r="AJ28">
        <v>6</v>
      </c>
      <c r="AK28">
        <v>6</v>
      </c>
      <c r="AL28">
        <v>4</v>
      </c>
      <c r="AM28">
        <v>6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6</v>
      </c>
      <c r="AW28">
        <v>6</v>
      </c>
      <c r="AX28">
        <v>6</v>
      </c>
      <c r="AY28">
        <v>6</v>
      </c>
      <c r="AZ28">
        <v>6</v>
      </c>
      <c r="BA28">
        <v>6</v>
      </c>
      <c r="BB28">
        <v>4</v>
      </c>
      <c r="BC28">
        <v>6</v>
      </c>
      <c r="BD28" t="s">
        <v>74</v>
      </c>
      <c r="BE28" t="s">
        <v>73</v>
      </c>
      <c r="BF28" t="s">
        <v>76</v>
      </c>
      <c r="BG28" t="s">
        <v>77</v>
      </c>
      <c r="BH28" t="s">
        <v>78</v>
      </c>
      <c r="BI28" t="s">
        <v>75</v>
      </c>
      <c r="BJ28">
        <v>39</v>
      </c>
      <c r="BK28">
        <v>4</v>
      </c>
      <c r="BL28">
        <f>IF(Tabelle1[[#This Row],[Abschluss]]=2,1,0)</f>
        <v>0</v>
      </c>
      <c r="BM28">
        <f>IF(Tabelle1[[#This Row],[Abschluss]]=3,1,0)</f>
        <v>0</v>
      </c>
      <c r="BN28">
        <f>IF(Tabelle1[[#This Row],[Abschluss]]=4,1,0)</f>
        <v>1</v>
      </c>
      <c r="BO28">
        <f>IF(Tabelle1[[#This Row],[Abschluss]]=5,1,0)</f>
        <v>0</v>
      </c>
      <c r="BP28">
        <v>2</v>
      </c>
      <c r="BQ28">
        <f>IF(Tabelle1[[#This Row],[Vorwissen_tech]]=1,1,0)</f>
        <v>0</v>
      </c>
      <c r="BR28">
        <f>IF(Tabelle1[[#This Row],[Vorwissen_tech]]=2,1,0)</f>
        <v>1</v>
      </c>
      <c r="BS28">
        <v>1</v>
      </c>
      <c r="BT28">
        <f>IF(Tabelle1[[#This Row],[Vorwissen_fach]]=1,1,0)</f>
        <v>1</v>
      </c>
      <c r="BU28">
        <f>IF(Tabelle1[[#This Row],[Vorwissen_fach]]=2,1,0)</f>
        <v>0</v>
      </c>
      <c r="BV28">
        <f>IF(Tabelle1[[#This Row],[Vorwissen_tech]]=2,1,0)</f>
        <v>1</v>
      </c>
      <c r="BX28">
        <v>841.69</v>
      </c>
      <c r="BY28">
        <v>96.23</v>
      </c>
      <c r="BZ28">
        <v>151.06</v>
      </c>
      <c r="CA28">
        <v>248.1</v>
      </c>
      <c r="CB28">
        <v>65.91</v>
      </c>
      <c r="CC28">
        <v>81.239999999999995</v>
      </c>
      <c r="CD28">
        <v>65.040000000000006</v>
      </c>
      <c r="CE28">
        <v>115.25</v>
      </c>
      <c r="CF28">
        <v>18.86</v>
      </c>
    </row>
    <row r="29" spans="1:84" x14ac:dyDescent="0.2">
      <c r="A29">
        <v>178</v>
      </c>
      <c r="B29" t="s">
        <v>131</v>
      </c>
      <c r="C29">
        <v>8</v>
      </c>
      <c r="D29" t="s">
        <v>71</v>
      </c>
      <c r="E29">
        <v>221673000</v>
      </c>
      <c r="F29" t="s">
        <v>132</v>
      </c>
      <c r="G29" t="s">
        <v>131</v>
      </c>
      <c r="H29">
        <v>2</v>
      </c>
      <c r="I29">
        <v>2</v>
      </c>
      <c r="J29">
        <v>3</v>
      </c>
      <c r="K29">
        <v>2</v>
      </c>
      <c r="L29">
        <v>2</v>
      </c>
      <c r="M29">
        <v>5</v>
      </c>
      <c r="N29">
        <v>3</v>
      </c>
      <c r="O29">
        <v>2</v>
      </c>
      <c r="P29">
        <v>1</v>
      </c>
      <c r="Q29">
        <v>1</v>
      </c>
      <c r="R29">
        <v>2</v>
      </c>
      <c r="S29">
        <v>1</v>
      </c>
      <c r="T29">
        <v>1</v>
      </c>
      <c r="U29">
        <v>2</v>
      </c>
      <c r="V29">
        <v>1</v>
      </c>
      <c r="W29">
        <v>1</v>
      </c>
      <c r="X29">
        <v>3</v>
      </c>
      <c r="Y29">
        <v>5</v>
      </c>
      <c r="Z29">
        <v>4</v>
      </c>
      <c r="AA29">
        <v>3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4</v>
      </c>
      <c r="AI29">
        <v>5</v>
      </c>
      <c r="AJ29">
        <v>4</v>
      </c>
      <c r="AK29">
        <v>5</v>
      </c>
      <c r="AL29">
        <v>5</v>
      </c>
      <c r="AM29">
        <v>3</v>
      </c>
      <c r="AN29">
        <v>3</v>
      </c>
      <c r="AO29">
        <v>1</v>
      </c>
      <c r="AP29">
        <v>2</v>
      </c>
      <c r="AQ29">
        <v>2</v>
      </c>
      <c r="AR29">
        <v>2</v>
      </c>
      <c r="AS29">
        <v>1</v>
      </c>
      <c r="AT29">
        <v>2</v>
      </c>
      <c r="AU29">
        <v>1</v>
      </c>
      <c r="AV29">
        <v>6</v>
      </c>
      <c r="AW29">
        <v>7</v>
      </c>
      <c r="AX29">
        <v>7</v>
      </c>
      <c r="AY29">
        <v>6</v>
      </c>
      <c r="AZ29">
        <v>7</v>
      </c>
      <c r="BA29">
        <v>7</v>
      </c>
      <c r="BB29">
        <v>7</v>
      </c>
      <c r="BC29">
        <v>6</v>
      </c>
      <c r="BD29" t="s">
        <v>74</v>
      </c>
      <c r="BE29" t="s">
        <v>73</v>
      </c>
      <c r="BF29" t="s">
        <v>75</v>
      </c>
      <c r="BG29" t="s">
        <v>77</v>
      </c>
      <c r="BH29" t="s">
        <v>76</v>
      </c>
      <c r="BI29" t="s">
        <v>78</v>
      </c>
      <c r="BJ29">
        <v>25</v>
      </c>
      <c r="BK29">
        <v>1</v>
      </c>
      <c r="BL29">
        <f>IF(Tabelle1[[#This Row],[Abschluss]]=2,1,0)</f>
        <v>0</v>
      </c>
      <c r="BM29">
        <f>IF(Tabelle1[[#This Row],[Abschluss]]=3,1,0)</f>
        <v>0</v>
      </c>
      <c r="BN29">
        <f>IF(Tabelle1[[#This Row],[Abschluss]]=4,1,0)</f>
        <v>0</v>
      </c>
      <c r="BO29">
        <f>IF(Tabelle1[[#This Row],[Abschluss]]=5,1,0)</f>
        <v>0</v>
      </c>
      <c r="BP29">
        <v>0</v>
      </c>
      <c r="BQ29">
        <f>IF(Tabelle1[[#This Row],[Vorwissen_tech]]=1,1,0)</f>
        <v>0</v>
      </c>
      <c r="BR29">
        <f>IF(Tabelle1[[#This Row],[Vorwissen_tech]]=2,1,0)</f>
        <v>0</v>
      </c>
      <c r="BS29">
        <v>0</v>
      </c>
      <c r="BT29">
        <f>IF(Tabelle1[[#This Row],[Vorwissen_fach]]=1,1,0)</f>
        <v>0</v>
      </c>
      <c r="BU29">
        <f>IF(Tabelle1[[#This Row],[Vorwissen_fach]]=2,1,0)</f>
        <v>0</v>
      </c>
      <c r="BV29">
        <f>IF(Tabelle1[[#This Row],[Vorwissen_tech]]=2,1,0)</f>
        <v>0</v>
      </c>
      <c r="BX29">
        <v>1357.15</v>
      </c>
      <c r="BY29">
        <v>141.38999999999999</v>
      </c>
      <c r="BZ29">
        <v>160.78</v>
      </c>
      <c r="CA29">
        <v>154.52000000000001</v>
      </c>
      <c r="CB29">
        <v>244.33</v>
      </c>
      <c r="CC29">
        <v>204.21</v>
      </c>
      <c r="CD29">
        <v>261.87</v>
      </c>
      <c r="CE29">
        <v>167.23</v>
      </c>
      <c r="CF29">
        <v>22.82</v>
      </c>
    </row>
    <row r="30" spans="1:84" x14ac:dyDescent="0.2">
      <c r="A30">
        <v>181</v>
      </c>
      <c r="B30" t="s">
        <v>133</v>
      </c>
      <c r="C30">
        <v>8</v>
      </c>
      <c r="D30" t="s">
        <v>71</v>
      </c>
      <c r="E30">
        <v>9412258</v>
      </c>
      <c r="F30" t="s">
        <v>134</v>
      </c>
      <c r="G30" t="s">
        <v>133</v>
      </c>
      <c r="H30">
        <v>5</v>
      </c>
      <c r="I30">
        <v>5</v>
      </c>
      <c r="J30">
        <v>2</v>
      </c>
      <c r="K30">
        <v>3</v>
      </c>
      <c r="L30">
        <v>5</v>
      </c>
      <c r="M30">
        <v>4</v>
      </c>
      <c r="N30">
        <v>2</v>
      </c>
      <c r="O30">
        <v>2</v>
      </c>
      <c r="P30">
        <v>5</v>
      </c>
      <c r="Q30">
        <v>5</v>
      </c>
      <c r="R30">
        <v>3</v>
      </c>
      <c r="S30">
        <v>5</v>
      </c>
      <c r="T30">
        <v>5</v>
      </c>
      <c r="U30">
        <v>2</v>
      </c>
      <c r="V30">
        <v>2</v>
      </c>
      <c r="W30">
        <v>2</v>
      </c>
      <c r="X30">
        <v>4</v>
      </c>
      <c r="Y30">
        <v>4</v>
      </c>
      <c r="Z30">
        <v>3</v>
      </c>
      <c r="AA30">
        <v>4</v>
      </c>
      <c r="AB30">
        <v>4</v>
      </c>
      <c r="AC30">
        <v>4</v>
      </c>
      <c r="AD30">
        <v>3</v>
      </c>
      <c r="AE30">
        <v>2</v>
      </c>
      <c r="AF30">
        <v>5</v>
      </c>
      <c r="AG30">
        <v>5</v>
      </c>
      <c r="AH30">
        <v>2</v>
      </c>
      <c r="AI30">
        <v>4</v>
      </c>
      <c r="AJ30">
        <v>5</v>
      </c>
      <c r="AK30">
        <v>5</v>
      </c>
      <c r="AL30">
        <v>2</v>
      </c>
      <c r="AM30">
        <v>1</v>
      </c>
      <c r="AN30">
        <v>4</v>
      </c>
      <c r="AO30">
        <v>4</v>
      </c>
      <c r="AP30">
        <v>3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1</v>
      </c>
      <c r="AW30">
        <v>1</v>
      </c>
      <c r="AX30">
        <v>2</v>
      </c>
      <c r="AY30">
        <v>2</v>
      </c>
      <c r="AZ30">
        <v>3</v>
      </c>
      <c r="BA30">
        <v>2</v>
      </c>
      <c r="BB30">
        <v>3</v>
      </c>
      <c r="BC30">
        <v>2</v>
      </c>
      <c r="BD30" t="s">
        <v>78</v>
      </c>
      <c r="BE30" t="s">
        <v>75</v>
      </c>
      <c r="BF30" t="s">
        <v>73</v>
      </c>
      <c r="BG30" t="s">
        <v>77</v>
      </c>
      <c r="BH30" t="s">
        <v>76</v>
      </c>
      <c r="BI30" t="s">
        <v>74</v>
      </c>
      <c r="BJ30">
        <v>56</v>
      </c>
      <c r="BK30">
        <v>4</v>
      </c>
      <c r="BL30">
        <f>IF(Tabelle1[[#This Row],[Abschluss]]=2,1,0)</f>
        <v>0</v>
      </c>
      <c r="BM30">
        <f>IF(Tabelle1[[#This Row],[Abschluss]]=3,1,0)</f>
        <v>0</v>
      </c>
      <c r="BN30">
        <f>IF(Tabelle1[[#This Row],[Abschluss]]=4,1,0)</f>
        <v>1</v>
      </c>
      <c r="BO30">
        <f>IF(Tabelle1[[#This Row],[Abschluss]]=5,1,0)</f>
        <v>0</v>
      </c>
      <c r="BP30">
        <v>0</v>
      </c>
      <c r="BQ30">
        <f>IF(Tabelle1[[#This Row],[Vorwissen_tech]]=1,1,0)</f>
        <v>0</v>
      </c>
      <c r="BR30">
        <f>IF(Tabelle1[[#This Row],[Vorwissen_tech]]=2,1,0)</f>
        <v>0</v>
      </c>
      <c r="BS30">
        <v>0</v>
      </c>
      <c r="BT30">
        <f>IF(Tabelle1[[#This Row],[Vorwissen_fach]]=1,1,0)</f>
        <v>0</v>
      </c>
      <c r="BU30">
        <f>IF(Tabelle1[[#This Row],[Vorwissen_fach]]=2,1,0)</f>
        <v>0</v>
      </c>
      <c r="BV30">
        <f>IF(Tabelle1[[#This Row],[Vorwissen_tech]]=2,1,0)</f>
        <v>0</v>
      </c>
      <c r="BX30">
        <v>686.64</v>
      </c>
      <c r="BY30">
        <v>112.19</v>
      </c>
      <c r="BZ30">
        <v>84.16</v>
      </c>
      <c r="CA30">
        <v>73.010000000000005</v>
      </c>
      <c r="CB30">
        <v>122.65</v>
      </c>
      <c r="CC30">
        <v>85.24</v>
      </c>
      <c r="CD30">
        <v>130.75</v>
      </c>
      <c r="CE30">
        <v>56.25</v>
      </c>
      <c r="CF30">
        <v>22.39</v>
      </c>
    </row>
    <row r="31" spans="1:84" x14ac:dyDescent="0.2">
      <c r="A31">
        <v>187</v>
      </c>
      <c r="B31" t="s">
        <v>135</v>
      </c>
      <c r="C31">
        <v>8</v>
      </c>
      <c r="D31" t="s">
        <v>71</v>
      </c>
      <c r="E31">
        <v>1569107327</v>
      </c>
      <c r="F31" t="s">
        <v>136</v>
      </c>
      <c r="G31" t="s">
        <v>135</v>
      </c>
      <c r="H31">
        <v>4</v>
      </c>
      <c r="I31">
        <v>3</v>
      </c>
      <c r="J31">
        <v>4</v>
      </c>
      <c r="K31">
        <v>4</v>
      </c>
      <c r="L31">
        <v>4</v>
      </c>
      <c r="M31">
        <v>4</v>
      </c>
      <c r="N31">
        <v>3</v>
      </c>
      <c r="O31">
        <v>4</v>
      </c>
      <c r="P31">
        <v>1</v>
      </c>
      <c r="Q31">
        <v>3</v>
      </c>
      <c r="R31">
        <v>2</v>
      </c>
      <c r="S31">
        <v>2</v>
      </c>
      <c r="T31">
        <v>2</v>
      </c>
      <c r="U31">
        <v>4</v>
      </c>
      <c r="V31">
        <v>1</v>
      </c>
      <c r="W31">
        <v>3</v>
      </c>
      <c r="X31">
        <v>1</v>
      </c>
      <c r="Y31">
        <v>1</v>
      </c>
      <c r="Z31">
        <v>1</v>
      </c>
      <c r="AA31">
        <v>1</v>
      </c>
      <c r="AB31">
        <v>3</v>
      </c>
      <c r="AC31">
        <v>5</v>
      </c>
      <c r="AD31">
        <v>1</v>
      </c>
      <c r="AE31">
        <v>1</v>
      </c>
      <c r="AF31">
        <v>4</v>
      </c>
      <c r="AG31">
        <v>3</v>
      </c>
      <c r="AH31">
        <v>3</v>
      </c>
      <c r="AI31">
        <v>3</v>
      </c>
      <c r="AJ31">
        <v>4</v>
      </c>
      <c r="AK31">
        <v>4</v>
      </c>
      <c r="AL31">
        <v>3</v>
      </c>
      <c r="AM31">
        <v>3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6</v>
      </c>
      <c r="AV31">
        <v>7</v>
      </c>
      <c r="AW31">
        <v>7</v>
      </c>
      <c r="AX31">
        <v>7</v>
      </c>
      <c r="AY31">
        <v>7</v>
      </c>
      <c r="AZ31">
        <v>7</v>
      </c>
      <c r="BA31">
        <v>7</v>
      </c>
      <c r="BB31">
        <v>5</v>
      </c>
      <c r="BC31">
        <v>5</v>
      </c>
      <c r="BD31" t="s">
        <v>78</v>
      </c>
      <c r="BE31" t="s">
        <v>74</v>
      </c>
      <c r="BF31" t="s">
        <v>77</v>
      </c>
      <c r="BG31" t="s">
        <v>73</v>
      </c>
      <c r="BH31" t="s">
        <v>76</v>
      </c>
      <c r="BI31" t="s">
        <v>75</v>
      </c>
      <c r="BJ31">
        <v>24</v>
      </c>
      <c r="BK31">
        <v>3</v>
      </c>
      <c r="BL31">
        <f>IF(Tabelle1[[#This Row],[Abschluss]]=2,1,0)</f>
        <v>0</v>
      </c>
      <c r="BM31">
        <f>IF(Tabelle1[[#This Row],[Abschluss]]=3,1,0)</f>
        <v>1</v>
      </c>
      <c r="BN31">
        <f>IF(Tabelle1[[#This Row],[Abschluss]]=4,1,0)</f>
        <v>0</v>
      </c>
      <c r="BO31">
        <f>IF(Tabelle1[[#This Row],[Abschluss]]=5,1,0)</f>
        <v>0</v>
      </c>
      <c r="BP31">
        <v>1</v>
      </c>
      <c r="BQ31">
        <f>IF(Tabelle1[[#This Row],[Vorwissen_tech]]=1,1,0)</f>
        <v>1</v>
      </c>
      <c r="BR31">
        <f>IF(Tabelle1[[#This Row],[Vorwissen_tech]]=2,1,0)</f>
        <v>0</v>
      </c>
      <c r="BS31">
        <v>0</v>
      </c>
      <c r="BT31">
        <f>IF(Tabelle1[[#This Row],[Vorwissen_fach]]=1,1,0)</f>
        <v>0</v>
      </c>
      <c r="BU31">
        <f>IF(Tabelle1[[#This Row],[Vorwissen_fach]]=2,1,0)</f>
        <v>0</v>
      </c>
      <c r="BV31">
        <f>IF(Tabelle1[[#This Row],[Vorwissen_tech]]=2,1,0)</f>
        <v>0</v>
      </c>
      <c r="BX31">
        <v>889.77</v>
      </c>
      <c r="BY31">
        <v>105.16</v>
      </c>
      <c r="BZ31">
        <v>86.5</v>
      </c>
      <c r="CA31">
        <v>144.30000000000001</v>
      </c>
      <c r="CB31">
        <v>79.27</v>
      </c>
      <c r="CC31">
        <v>88.56</v>
      </c>
      <c r="CD31">
        <v>282.32</v>
      </c>
      <c r="CE31">
        <v>73.37</v>
      </c>
      <c r="CF31">
        <v>30.29</v>
      </c>
    </row>
    <row r="32" spans="1:84" x14ac:dyDescent="0.2">
      <c r="A32">
        <v>202</v>
      </c>
      <c r="B32" t="s">
        <v>137</v>
      </c>
      <c r="C32">
        <v>8</v>
      </c>
      <c r="D32" t="s">
        <v>71</v>
      </c>
      <c r="E32">
        <v>1279197252</v>
      </c>
      <c r="F32" t="s">
        <v>138</v>
      </c>
      <c r="G32" t="s">
        <v>137</v>
      </c>
      <c r="H32">
        <v>4</v>
      </c>
      <c r="I32">
        <v>5</v>
      </c>
      <c r="J32">
        <v>7</v>
      </c>
      <c r="K32">
        <v>4</v>
      </c>
      <c r="L32">
        <v>5</v>
      </c>
      <c r="M32">
        <v>6</v>
      </c>
      <c r="N32">
        <v>2</v>
      </c>
      <c r="O32">
        <v>5</v>
      </c>
      <c r="P32">
        <v>4</v>
      </c>
      <c r="Q32">
        <v>3</v>
      </c>
      <c r="R32">
        <v>4</v>
      </c>
      <c r="S32">
        <v>5</v>
      </c>
      <c r="T32">
        <v>4</v>
      </c>
      <c r="U32">
        <v>7</v>
      </c>
      <c r="V32">
        <v>4</v>
      </c>
      <c r="W32">
        <v>3</v>
      </c>
      <c r="X32">
        <v>6</v>
      </c>
      <c r="Y32">
        <v>7</v>
      </c>
      <c r="Z32">
        <v>6</v>
      </c>
      <c r="AA32">
        <v>7</v>
      </c>
      <c r="AB32">
        <v>6</v>
      </c>
      <c r="AC32">
        <v>7</v>
      </c>
      <c r="AD32">
        <v>6</v>
      </c>
      <c r="AE32">
        <v>6</v>
      </c>
      <c r="AF32">
        <v>6</v>
      </c>
      <c r="AG32">
        <v>7</v>
      </c>
      <c r="AH32">
        <v>5</v>
      </c>
      <c r="AI32">
        <v>6</v>
      </c>
      <c r="AJ32">
        <v>6</v>
      </c>
      <c r="AK32">
        <v>7</v>
      </c>
      <c r="AL32">
        <v>3</v>
      </c>
      <c r="AM32">
        <v>7</v>
      </c>
      <c r="AN32">
        <v>2</v>
      </c>
      <c r="AO32">
        <v>3</v>
      </c>
      <c r="AP32">
        <v>4</v>
      </c>
      <c r="AQ32">
        <v>6</v>
      </c>
      <c r="AR32">
        <v>3</v>
      </c>
      <c r="AS32">
        <v>7</v>
      </c>
      <c r="AT32">
        <v>3</v>
      </c>
      <c r="AU32">
        <v>1</v>
      </c>
      <c r="AV32">
        <v>6</v>
      </c>
      <c r="AW32">
        <v>7</v>
      </c>
      <c r="AX32">
        <v>6</v>
      </c>
      <c r="AY32">
        <v>5</v>
      </c>
      <c r="AZ32">
        <v>6</v>
      </c>
      <c r="BA32">
        <v>6</v>
      </c>
      <c r="BB32">
        <v>3</v>
      </c>
      <c r="BC32">
        <v>6</v>
      </c>
      <c r="BD32" t="s">
        <v>75</v>
      </c>
      <c r="BE32" t="s">
        <v>73</v>
      </c>
      <c r="BF32" t="s">
        <v>77</v>
      </c>
      <c r="BG32" t="s">
        <v>78</v>
      </c>
      <c r="BH32" t="s">
        <v>74</v>
      </c>
      <c r="BI32" t="s">
        <v>76</v>
      </c>
      <c r="BJ32">
        <v>22</v>
      </c>
      <c r="BK32">
        <v>1</v>
      </c>
      <c r="BL32">
        <f>IF(Tabelle1[[#This Row],[Abschluss]]=2,1,0)</f>
        <v>0</v>
      </c>
      <c r="BM32">
        <f>IF(Tabelle1[[#This Row],[Abschluss]]=3,1,0)</f>
        <v>0</v>
      </c>
      <c r="BN32">
        <f>IF(Tabelle1[[#This Row],[Abschluss]]=4,1,0)</f>
        <v>0</v>
      </c>
      <c r="BO32">
        <f>IF(Tabelle1[[#This Row],[Abschluss]]=5,1,0)</f>
        <v>0</v>
      </c>
      <c r="BP32">
        <v>1</v>
      </c>
      <c r="BQ32">
        <f>IF(Tabelle1[[#This Row],[Vorwissen_tech]]=1,1,0)</f>
        <v>1</v>
      </c>
      <c r="BR32">
        <f>IF(Tabelle1[[#This Row],[Vorwissen_tech]]=2,1,0)</f>
        <v>0</v>
      </c>
      <c r="BS32">
        <v>0</v>
      </c>
      <c r="BT32">
        <f>IF(Tabelle1[[#This Row],[Vorwissen_fach]]=1,1,0)</f>
        <v>0</v>
      </c>
      <c r="BU32">
        <f>IF(Tabelle1[[#This Row],[Vorwissen_fach]]=2,1,0)</f>
        <v>0</v>
      </c>
      <c r="BV32">
        <f>IF(Tabelle1[[#This Row],[Vorwissen_tech]]=2,1,0)</f>
        <v>0</v>
      </c>
      <c r="BX32">
        <v>941.32</v>
      </c>
      <c r="BY32">
        <v>70.38</v>
      </c>
      <c r="BZ32">
        <v>163.71</v>
      </c>
      <c r="CA32">
        <v>76.61</v>
      </c>
      <c r="CB32">
        <v>110.82</v>
      </c>
      <c r="CC32">
        <v>227.37</v>
      </c>
      <c r="CD32">
        <v>173.22</v>
      </c>
      <c r="CE32">
        <v>92.11</v>
      </c>
      <c r="CF32">
        <v>27.1</v>
      </c>
    </row>
    <row r="33" spans="1:84" x14ac:dyDescent="0.2">
      <c r="A33">
        <v>208</v>
      </c>
      <c r="B33" t="s">
        <v>139</v>
      </c>
      <c r="C33">
        <v>8</v>
      </c>
      <c r="D33" t="s">
        <v>71</v>
      </c>
      <c r="E33">
        <v>695174371</v>
      </c>
      <c r="F33" t="s">
        <v>140</v>
      </c>
      <c r="G33" t="s">
        <v>139</v>
      </c>
      <c r="H33">
        <v>4</v>
      </c>
      <c r="I33">
        <v>6</v>
      </c>
      <c r="J33">
        <v>6</v>
      </c>
      <c r="K33">
        <v>6</v>
      </c>
      <c r="L33">
        <v>6</v>
      </c>
      <c r="M33">
        <v>5</v>
      </c>
      <c r="N33">
        <v>5</v>
      </c>
      <c r="O33">
        <v>6</v>
      </c>
      <c r="P33">
        <v>5</v>
      </c>
      <c r="Q33">
        <v>6</v>
      </c>
      <c r="R33">
        <v>6</v>
      </c>
      <c r="S33">
        <v>5</v>
      </c>
      <c r="T33">
        <v>6</v>
      </c>
      <c r="U33">
        <v>6</v>
      </c>
      <c r="V33">
        <v>5</v>
      </c>
      <c r="W33">
        <v>6</v>
      </c>
      <c r="X33">
        <v>5</v>
      </c>
      <c r="Y33">
        <v>6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6</v>
      </c>
      <c r="AH33">
        <v>6</v>
      </c>
      <c r="AI33">
        <v>5</v>
      </c>
      <c r="AJ33">
        <v>6</v>
      </c>
      <c r="AK33">
        <v>6</v>
      </c>
      <c r="AL33">
        <v>5</v>
      </c>
      <c r="AM33">
        <v>6</v>
      </c>
      <c r="AN33">
        <v>3</v>
      </c>
      <c r="AO33">
        <v>4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3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 t="s">
        <v>73</v>
      </c>
      <c r="BE33" t="s">
        <v>76</v>
      </c>
      <c r="BF33" t="s">
        <v>75</v>
      </c>
      <c r="BG33" t="s">
        <v>77</v>
      </c>
      <c r="BH33" t="s">
        <v>74</v>
      </c>
      <c r="BI33" t="s">
        <v>78</v>
      </c>
      <c r="BJ33">
        <v>60</v>
      </c>
      <c r="BK33">
        <v>4</v>
      </c>
      <c r="BL33">
        <f>IF(Tabelle1[[#This Row],[Abschluss]]=2,1,0)</f>
        <v>0</v>
      </c>
      <c r="BM33">
        <f>IF(Tabelle1[[#This Row],[Abschluss]]=3,1,0)</f>
        <v>0</v>
      </c>
      <c r="BN33">
        <f>IF(Tabelle1[[#This Row],[Abschluss]]=4,1,0)</f>
        <v>1</v>
      </c>
      <c r="BO33">
        <f>IF(Tabelle1[[#This Row],[Abschluss]]=5,1,0)</f>
        <v>0</v>
      </c>
      <c r="BP33">
        <v>0</v>
      </c>
      <c r="BQ33">
        <f>IF(Tabelle1[[#This Row],[Vorwissen_tech]]=1,1,0)</f>
        <v>0</v>
      </c>
      <c r="BR33">
        <f>IF(Tabelle1[[#This Row],[Vorwissen_tech]]=2,1,0)</f>
        <v>0</v>
      </c>
      <c r="BS33">
        <v>1</v>
      </c>
      <c r="BT33">
        <f>IF(Tabelle1[[#This Row],[Vorwissen_fach]]=1,1,0)</f>
        <v>1</v>
      </c>
      <c r="BU33">
        <f>IF(Tabelle1[[#This Row],[Vorwissen_fach]]=2,1,0)</f>
        <v>0</v>
      </c>
      <c r="BV33">
        <f>IF(Tabelle1[[#This Row],[Vorwissen_tech]]=2,1,0)</f>
        <v>0</v>
      </c>
      <c r="BX33">
        <v>1165.25</v>
      </c>
      <c r="BY33">
        <v>217.37</v>
      </c>
      <c r="BZ33">
        <v>104.59</v>
      </c>
      <c r="CA33">
        <v>97.22</v>
      </c>
      <c r="CB33">
        <v>131.27000000000001</v>
      </c>
      <c r="CC33">
        <v>118.81</v>
      </c>
      <c r="CD33">
        <v>398.05</v>
      </c>
      <c r="CE33">
        <v>67.709999999999994</v>
      </c>
      <c r="CF33">
        <v>30.23</v>
      </c>
    </row>
    <row r="34" spans="1:84" x14ac:dyDescent="0.2">
      <c r="A34">
        <v>214</v>
      </c>
      <c r="B34" t="s">
        <v>141</v>
      </c>
      <c r="C34">
        <v>8</v>
      </c>
      <c r="D34" t="s">
        <v>71</v>
      </c>
      <c r="E34">
        <v>950106890</v>
      </c>
      <c r="F34" t="s">
        <v>142</v>
      </c>
      <c r="G34" t="s">
        <v>141</v>
      </c>
      <c r="H34">
        <v>6</v>
      </c>
      <c r="I34">
        <v>7</v>
      </c>
      <c r="J34">
        <v>7</v>
      </c>
      <c r="K34">
        <v>7</v>
      </c>
      <c r="L34">
        <v>7</v>
      </c>
      <c r="M34">
        <v>6</v>
      </c>
      <c r="N34">
        <v>6</v>
      </c>
      <c r="O34">
        <v>6</v>
      </c>
      <c r="P34">
        <v>5</v>
      </c>
      <c r="Q34">
        <v>6</v>
      </c>
      <c r="R34">
        <v>6</v>
      </c>
      <c r="S34">
        <v>5</v>
      </c>
      <c r="T34">
        <v>5</v>
      </c>
      <c r="U34">
        <v>5</v>
      </c>
      <c r="V34">
        <v>4</v>
      </c>
      <c r="W34">
        <v>4</v>
      </c>
      <c r="X34">
        <v>6</v>
      </c>
      <c r="Y34">
        <v>7</v>
      </c>
      <c r="Z34">
        <v>7</v>
      </c>
      <c r="AA34">
        <v>7</v>
      </c>
      <c r="AB34">
        <v>7</v>
      </c>
      <c r="AC34">
        <v>7</v>
      </c>
      <c r="AD34">
        <v>5</v>
      </c>
      <c r="AE34">
        <v>7</v>
      </c>
      <c r="AF34">
        <v>5</v>
      </c>
      <c r="AG34">
        <v>7</v>
      </c>
      <c r="AH34">
        <v>7</v>
      </c>
      <c r="AI34">
        <v>7</v>
      </c>
      <c r="AJ34">
        <v>7</v>
      </c>
      <c r="AK34">
        <v>5</v>
      </c>
      <c r="AL34">
        <v>5</v>
      </c>
      <c r="AM34">
        <v>3</v>
      </c>
      <c r="AN34">
        <v>4</v>
      </c>
      <c r="AO34">
        <v>6</v>
      </c>
      <c r="AP34">
        <v>6</v>
      </c>
      <c r="AQ34">
        <v>4</v>
      </c>
      <c r="AR34">
        <v>5</v>
      </c>
      <c r="AS34">
        <v>6</v>
      </c>
      <c r="AT34">
        <v>3</v>
      </c>
      <c r="AU34">
        <v>4</v>
      </c>
      <c r="AV34">
        <v>7</v>
      </c>
      <c r="AW34">
        <v>7</v>
      </c>
      <c r="AX34">
        <v>7</v>
      </c>
      <c r="AY34">
        <v>7</v>
      </c>
      <c r="AZ34">
        <v>7</v>
      </c>
      <c r="BA34">
        <v>7</v>
      </c>
      <c r="BB34">
        <v>7</v>
      </c>
      <c r="BC34">
        <v>7</v>
      </c>
      <c r="BD34" t="s">
        <v>74</v>
      </c>
      <c r="BE34" t="s">
        <v>75</v>
      </c>
      <c r="BF34" t="s">
        <v>77</v>
      </c>
      <c r="BG34" t="s">
        <v>73</v>
      </c>
      <c r="BH34" t="s">
        <v>78</v>
      </c>
      <c r="BI34" t="s">
        <v>76</v>
      </c>
      <c r="BJ34">
        <v>28</v>
      </c>
      <c r="BK34">
        <v>4</v>
      </c>
      <c r="BL34">
        <f>IF(Tabelle1[[#This Row],[Abschluss]]=2,1,0)</f>
        <v>0</v>
      </c>
      <c r="BM34">
        <f>IF(Tabelle1[[#This Row],[Abschluss]]=3,1,0)</f>
        <v>0</v>
      </c>
      <c r="BN34">
        <f>IF(Tabelle1[[#This Row],[Abschluss]]=4,1,0)</f>
        <v>1</v>
      </c>
      <c r="BO34">
        <f>IF(Tabelle1[[#This Row],[Abschluss]]=5,1,0)</f>
        <v>0</v>
      </c>
      <c r="BP34">
        <v>1</v>
      </c>
      <c r="BQ34">
        <f>IF(Tabelle1[[#This Row],[Vorwissen_tech]]=1,1,0)</f>
        <v>1</v>
      </c>
      <c r="BR34">
        <f>IF(Tabelle1[[#This Row],[Vorwissen_tech]]=2,1,0)</f>
        <v>0</v>
      </c>
      <c r="BS34">
        <v>0</v>
      </c>
      <c r="BT34">
        <f>IF(Tabelle1[[#This Row],[Vorwissen_fach]]=1,1,0)</f>
        <v>0</v>
      </c>
      <c r="BU34">
        <f>IF(Tabelle1[[#This Row],[Vorwissen_fach]]=2,1,0)</f>
        <v>0</v>
      </c>
      <c r="BV34">
        <f>IF(Tabelle1[[#This Row],[Vorwissen_tech]]=2,1,0)</f>
        <v>0</v>
      </c>
      <c r="BX34">
        <v>931.8</v>
      </c>
      <c r="BY34">
        <v>89.27</v>
      </c>
      <c r="BZ34">
        <v>103.19</v>
      </c>
      <c r="CA34">
        <v>69.819999999999993</v>
      </c>
      <c r="CB34">
        <v>211.12</v>
      </c>
      <c r="CC34">
        <v>125.78</v>
      </c>
      <c r="CD34">
        <v>124.36</v>
      </c>
      <c r="CE34">
        <v>174.74</v>
      </c>
      <c r="CF34">
        <v>33.520000000000003</v>
      </c>
    </row>
    <row r="35" spans="1:84" x14ac:dyDescent="0.2">
      <c r="A35">
        <v>220</v>
      </c>
      <c r="B35" t="s">
        <v>143</v>
      </c>
      <c r="C35">
        <v>8</v>
      </c>
      <c r="D35" t="s">
        <v>71</v>
      </c>
      <c r="E35">
        <v>1020572820</v>
      </c>
      <c r="F35" t="s">
        <v>144</v>
      </c>
      <c r="G35" t="s">
        <v>143</v>
      </c>
      <c r="H35">
        <v>6</v>
      </c>
      <c r="I35">
        <v>3</v>
      </c>
      <c r="J35">
        <v>4</v>
      </c>
      <c r="K35">
        <v>5</v>
      </c>
      <c r="L35">
        <v>5</v>
      </c>
      <c r="M35">
        <v>2</v>
      </c>
      <c r="N35">
        <v>3</v>
      </c>
      <c r="O35">
        <v>2</v>
      </c>
      <c r="P35">
        <v>4</v>
      </c>
      <c r="Q35">
        <v>4</v>
      </c>
      <c r="R35">
        <v>7</v>
      </c>
      <c r="S35">
        <v>4</v>
      </c>
      <c r="T35">
        <v>3</v>
      </c>
      <c r="U35">
        <v>2</v>
      </c>
      <c r="V35">
        <v>2</v>
      </c>
      <c r="W35">
        <v>2</v>
      </c>
      <c r="X35">
        <v>6</v>
      </c>
      <c r="Y35">
        <v>7</v>
      </c>
      <c r="Z35">
        <v>7</v>
      </c>
      <c r="AA35">
        <v>5</v>
      </c>
      <c r="AB35">
        <v>7</v>
      </c>
      <c r="AC35">
        <v>6</v>
      </c>
      <c r="AD35">
        <v>5</v>
      </c>
      <c r="AE35">
        <v>4</v>
      </c>
      <c r="AF35">
        <v>6</v>
      </c>
      <c r="AG35">
        <v>7</v>
      </c>
      <c r="AH35">
        <v>7</v>
      </c>
      <c r="AI35">
        <v>7</v>
      </c>
      <c r="AJ35">
        <v>7</v>
      </c>
      <c r="AK35">
        <v>7</v>
      </c>
      <c r="AL35">
        <v>6</v>
      </c>
      <c r="AM35">
        <v>7</v>
      </c>
      <c r="AN35">
        <v>2</v>
      </c>
      <c r="AO35">
        <v>1</v>
      </c>
      <c r="AP35">
        <v>1</v>
      </c>
      <c r="AQ35">
        <v>5</v>
      </c>
      <c r="AR35">
        <v>1</v>
      </c>
      <c r="AS35">
        <v>6</v>
      </c>
      <c r="AT35">
        <v>1</v>
      </c>
      <c r="AU35">
        <v>2</v>
      </c>
      <c r="AV35">
        <v>5</v>
      </c>
      <c r="AW35">
        <v>7</v>
      </c>
      <c r="AX35">
        <v>7</v>
      </c>
      <c r="AY35">
        <v>5</v>
      </c>
      <c r="AZ35">
        <v>6</v>
      </c>
      <c r="BA35">
        <v>3</v>
      </c>
      <c r="BB35">
        <v>7</v>
      </c>
      <c r="BC35">
        <v>7</v>
      </c>
      <c r="BD35" t="s">
        <v>73</v>
      </c>
      <c r="BE35" t="s">
        <v>74</v>
      </c>
      <c r="BF35" t="s">
        <v>75</v>
      </c>
      <c r="BG35" t="s">
        <v>77</v>
      </c>
      <c r="BH35" t="s">
        <v>76</v>
      </c>
      <c r="BI35" t="s">
        <v>78</v>
      </c>
      <c r="BJ35">
        <v>21</v>
      </c>
      <c r="BK35">
        <v>1</v>
      </c>
      <c r="BL35">
        <f>IF(Tabelle1[[#This Row],[Abschluss]]=2,1,0)</f>
        <v>0</v>
      </c>
      <c r="BM35">
        <f>IF(Tabelle1[[#This Row],[Abschluss]]=3,1,0)</f>
        <v>0</v>
      </c>
      <c r="BN35">
        <f>IF(Tabelle1[[#This Row],[Abschluss]]=4,1,0)</f>
        <v>0</v>
      </c>
      <c r="BO35">
        <f>IF(Tabelle1[[#This Row],[Abschluss]]=5,1,0)</f>
        <v>0</v>
      </c>
      <c r="BP35">
        <v>1</v>
      </c>
      <c r="BQ35">
        <f>IF(Tabelle1[[#This Row],[Vorwissen_tech]]=1,1,0)</f>
        <v>1</v>
      </c>
      <c r="BR35">
        <f>IF(Tabelle1[[#This Row],[Vorwissen_tech]]=2,1,0)</f>
        <v>0</v>
      </c>
      <c r="BS35">
        <v>0</v>
      </c>
      <c r="BT35">
        <f>IF(Tabelle1[[#This Row],[Vorwissen_fach]]=1,1,0)</f>
        <v>0</v>
      </c>
      <c r="BU35">
        <f>IF(Tabelle1[[#This Row],[Vorwissen_fach]]=2,1,0)</f>
        <v>0</v>
      </c>
      <c r="BV35">
        <f>IF(Tabelle1[[#This Row],[Vorwissen_tech]]=2,1,0)</f>
        <v>0</v>
      </c>
      <c r="BX35">
        <v>772.62</v>
      </c>
      <c r="BY35">
        <v>147.06</v>
      </c>
      <c r="BZ35">
        <v>154.9</v>
      </c>
      <c r="CA35">
        <v>54.86</v>
      </c>
      <c r="CB35">
        <v>109.1</v>
      </c>
      <c r="CC35">
        <v>75.3</v>
      </c>
      <c r="CD35">
        <v>148.13999999999999</v>
      </c>
      <c r="CE35">
        <v>54.76</v>
      </c>
      <c r="CF35">
        <v>28.5</v>
      </c>
    </row>
    <row r="36" spans="1:84" x14ac:dyDescent="0.2">
      <c r="A36">
        <v>247</v>
      </c>
      <c r="B36" t="s">
        <v>145</v>
      </c>
      <c r="C36">
        <v>8</v>
      </c>
      <c r="D36" t="s">
        <v>71</v>
      </c>
      <c r="E36">
        <v>2004165080</v>
      </c>
      <c r="F36" t="s">
        <v>146</v>
      </c>
      <c r="G36" t="s">
        <v>145</v>
      </c>
      <c r="H36">
        <v>5</v>
      </c>
      <c r="I36">
        <v>7</v>
      </c>
      <c r="J36">
        <v>7</v>
      </c>
      <c r="K36">
        <v>7</v>
      </c>
      <c r="L36">
        <v>6</v>
      </c>
      <c r="M36">
        <v>6</v>
      </c>
      <c r="N36">
        <v>5</v>
      </c>
      <c r="O36">
        <v>6</v>
      </c>
      <c r="P36">
        <v>4</v>
      </c>
      <c r="Q36">
        <v>5</v>
      </c>
      <c r="R36">
        <v>5</v>
      </c>
      <c r="S36">
        <v>4</v>
      </c>
      <c r="T36">
        <v>4</v>
      </c>
      <c r="U36">
        <v>5</v>
      </c>
      <c r="V36">
        <v>2</v>
      </c>
      <c r="W36">
        <v>3</v>
      </c>
      <c r="X36">
        <v>6</v>
      </c>
      <c r="Y36">
        <v>6</v>
      </c>
      <c r="Z36">
        <v>7</v>
      </c>
      <c r="AA36">
        <v>7</v>
      </c>
      <c r="AB36">
        <v>7</v>
      </c>
      <c r="AC36">
        <v>7</v>
      </c>
      <c r="AD36">
        <v>6</v>
      </c>
      <c r="AE36">
        <v>7</v>
      </c>
      <c r="AF36">
        <v>4</v>
      </c>
      <c r="AG36">
        <v>5</v>
      </c>
      <c r="AH36">
        <v>5</v>
      </c>
      <c r="AI36">
        <v>4</v>
      </c>
      <c r="AJ36">
        <v>5</v>
      </c>
      <c r="AK36">
        <v>5</v>
      </c>
      <c r="AL36">
        <v>3</v>
      </c>
      <c r="AM36">
        <v>4</v>
      </c>
      <c r="AN36">
        <v>4</v>
      </c>
      <c r="AO36">
        <v>5</v>
      </c>
      <c r="AP36">
        <v>5</v>
      </c>
      <c r="AQ36">
        <v>4</v>
      </c>
      <c r="AR36">
        <v>4</v>
      </c>
      <c r="AS36">
        <v>3</v>
      </c>
      <c r="AT36">
        <v>2</v>
      </c>
      <c r="AU36">
        <v>2</v>
      </c>
      <c r="AV36">
        <v>6</v>
      </c>
      <c r="AW36">
        <v>7</v>
      </c>
      <c r="AX36">
        <v>7</v>
      </c>
      <c r="AY36">
        <v>6</v>
      </c>
      <c r="AZ36">
        <v>6</v>
      </c>
      <c r="BA36">
        <v>6</v>
      </c>
      <c r="BB36">
        <v>5</v>
      </c>
      <c r="BC36">
        <v>7</v>
      </c>
      <c r="BD36" t="s">
        <v>74</v>
      </c>
      <c r="BE36" t="s">
        <v>75</v>
      </c>
      <c r="BF36" t="s">
        <v>77</v>
      </c>
      <c r="BG36" t="s">
        <v>76</v>
      </c>
      <c r="BH36" t="s">
        <v>73</v>
      </c>
      <c r="BI36" t="s">
        <v>78</v>
      </c>
      <c r="BJ36">
        <v>27</v>
      </c>
      <c r="BK36">
        <v>4</v>
      </c>
      <c r="BL36">
        <f>IF(Tabelle1[[#This Row],[Abschluss]]=2,1,0)</f>
        <v>0</v>
      </c>
      <c r="BM36">
        <f>IF(Tabelle1[[#This Row],[Abschluss]]=3,1,0)</f>
        <v>0</v>
      </c>
      <c r="BN36">
        <f>IF(Tabelle1[[#This Row],[Abschluss]]=4,1,0)</f>
        <v>1</v>
      </c>
      <c r="BO36">
        <f>IF(Tabelle1[[#This Row],[Abschluss]]=5,1,0)</f>
        <v>0</v>
      </c>
      <c r="BP36">
        <v>1</v>
      </c>
      <c r="BQ36">
        <f>IF(Tabelle1[[#This Row],[Vorwissen_tech]]=1,1,0)</f>
        <v>1</v>
      </c>
      <c r="BR36">
        <f>IF(Tabelle1[[#This Row],[Vorwissen_tech]]=2,1,0)</f>
        <v>0</v>
      </c>
      <c r="BS36">
        <v>0</v>
      </c>
      <c r="BT36">
        <f>IF(Tabelle1[[#This Row],[Vorwissen_fach]]=1,1,0)</f>
        <v>0</v>
      </c>
      <c r="BU36">
        <f>IF(Tabelle1[[#This Row],[Vorwissen_fach]]=2,1,0)</f>
        <v>0</v>
      </c>
      <c r="BV36">
        <f>IF(Tabelle1[[#This Row],[Vorwissen_tech]]=2,1,0)</f>
        <v>0</v>
      </c>
      <c r="BX36">
        <v>612.65</v>
      </c>
      <c r="BY36">
        <v>58.2</v>
      </c>
      <c r="BZ36">
        <v>105.62</v>
      </c>
      <c r="CA36">
        <v>61.08</v>
      </c>
      <c r="CB36">
        <v>73.84</v>
      </c>
      <c r="CC36">
        <v>74.819999999999993</v>
      </c>
      <c r="CD36">
        <v>136.66</v>
      </c>
      <c r="CE36">
        <v>84.25</v>
      </c>
      <c r="CF36">
        <v>18.18</v>
      </c>
    </row>
    <row r="37" spans="1:84" x14ac:dyDescent="0.2">
      <c r="A37">
        <v>250</v>
      </c>
      <c r="B37" t="s">
        <v>147</v>
      </c>
      <c r="C37">
        <v>8</v>
      </c>
      <c r="D37" t="s">
        <v>71</v>
      </c>
      <c r="E37">
        <v>1860280056</v>
      </c>
      <c r="F37" t="s">
        <v>148</v>
      </c>
      <c r="G37" t="s">
        <v>147</v>
      </c>
      <c r="H37">
        <v>1</v>
      </c>
      <c r="I37">
        <v>3</v>
      </c>
      <c r="J37">
        <v>2</v>
      </c>
      <c r="K37">
        <v>1</v>
      </c>
      <c r="L37">
        <v>3</v>
      </c>
      <c r="M37">
        <v>4</v>
      </c>
      <c r="N37">
        <v>2</v>
      </c>
      <c r="O37">
        <v>1</v>
      </c>
      <c r="P37">
        <v>1</v>
      </c>
      <c r="Q37">
        <v>1</v>
      </c>
      <c r="R37">
        <v>1</v>
      </c>
      <c r="S37">
        <v>3</v>
      </c>
      <c r="T37">
        <v>2</v>
      </c>
      <c r="U37">
        <v>4</v>
      </c>
      <c r="V37">
        <v>1</v>
      </c>
      <c r="W37">
        <v>3</v>
      </c>
      <c r="X37">
        <v>2</v>
      </c>
      <c r="Y37">
        <v>1</v>
      </c>
      <c r="Z37">
        <v>1</v>
      </c>
      <c r="AA37">
        <v>1</v>
      </c>
      <c r="AB37">
        <v>3</v>
      </c>
      <c r="AC37">
        <v>2</v>
      </c>
      <c r="AD37">
        <v>5</v>
      </c>
      <c r="AE37">
        <v>1</v>
      </c>
      <c r="AF37">
        <v>1</v>
      </c>
      <c r="AG37">
        <v>1</v>
      </c>
      <c r="AH37">
        <v>2</v>
      </c>
      <c r="AI37">
        <v>2</v>
      </c>
      <c r="AJ37">
        <v>4</v>
      </c>
      <c r="AK37">
        <v>5</v>
      </c>
      <c r="AL37">
        <v>1</v>
      </c>
      <c r="AM37">
        <v>1</v>
      </c>
      <c r="AN37">
        <v>1</v>
      </c>
      <c r="AO37">
        <v>2</v>
      </c>
      <c r="AP37">
        <v>1</v>
      </c>
      <c r="AQ37">
        <v>4</v>
      </c>
      <c r="AR37">
        <v>3</v>
      </c>
      <c r="AS37">
        <v>1</v>
      </c>
      <c r="AT37">
        <v>1</v>
      </c>
      <c r="AU37">
        <v>1</v>
      </c>
      <c r="AV37">
        <v>2</v>
      </c>
      <c r="AW37">
        <v>2</v>
      </c>
      <c r="AX37">
        <v>7</v>
      </c>
      <c r="AY37">
        <v>2</v>
      </c>
      <c r="AZ37">
        <v>2</v>
      </c>
      <c r="BA37">
        <v>2</v>
      </c>
      <c r="BB37">
        <v>1</v>
      </c>
      <c r="BC37">
        <v>4</v>
      </c>
      <c r="BD37" t="s">
        <v>75</v>
      </c>
      <c r="BE37" t="s">
        <v>77</v>
      </c>
      <c r="BF37" t="s">
        <v>74</v>
      </c>
      <c r="BG37" t="s">
        <v>78</v>
      </c>
      <c r="BH37" t="s">
        <v>76</v>
      </c>
      <c r="BI37" t="s">
        <v>73</v>
      </c>
      <c r="BJ37">
        <v>33</v>
      </c>
      <c r="BK37">
        <v>5</v>
      </c>
      <c r="BL37">
        <f>IF(Tabelle1[[#This Row],[Abschluss]]=2,1,0)</f>
        <v>0</v>
      </c>
      <c r="BM37">
        <f>IF(Tabelle1[[#This Row],[Abschluss]]=3,1,0)</f>
        <v>0</v>
      </c>
      <c r="BN37">
        <f>IF(Tabelle1[[#This Row],[Abschluss]]=4,1,0)</f>
        <v>0</v>
      </c>
      <c r="BO37">
        <f>IF(Tabelle1[[#This Row],[Abschluss]]=5,1,0)</f>
        <v>1</v>
      </c>
      <c r="BP37">
        <v>2</v>
      </c>
      <c r="BQ37">
        <f>IF(Tabelle1[[#This Row],[Vorwissen_tech]]=1,1,0)</f>
        <v>0</v>
      </c>
      <c r="BR37">
        <f>IF(Tabelle1[[#This Row],[Vorwissen_tech]]=2,1,0)</f>
        <v>1</v>
      </c>
      <c r="BS37">
        <v>2</v>
      </c>
      <c r="BT37">
        <f>IF(Tabelle1[[#This Row],[Vorwissen_fach]]=1,1,0)</f>
        <v>0</v>
      </c>
      <c r="BU37">
        <f>IF(Tabelle1[[#This Row],[Vorwissen_fach]]=2,1,0)</f>
        <v>1</v>
      </c>
      <c r="BV37">
        <f>IF(Tabelle1[[#This Row],[Vorwissen_tech]]=2,1,0)</f>
        <v>1</v>
      </c>
      <c r="BX37">
        <v>204.64</v>
      </c>
      <c r="BY37">
        <v>20.49</v>
      </c>
      <c r="BZ37">
        <v>69.53</v>
      </c>
      <c r="CA37">
        <v>16</v>
      </c>
      <c r="CB37">
        <v>27.85</v>
      </c>
      <c r="CC37">
        <v>15.68</v>
      </c>
      <c r="CD37">
        <v>25.81</v>
      </c>
      <c r="CE37">
        <v>12.98</v>
      </c>
      <c r="CF37">
        <v>16.3</v>
      </c>
    </row>
    <row r="38" spans="1:84" x14ac:dyDescent="0.2">
      <c r="A38">
        <v>253</v>
      </c>
      <c r="B38" t="s">
        <v>149</v>
      </c>
      <c r="C38">
        <v>8</v>
      </c>
      <c r="D38" t="s">
        <v>71</v>
      </c>
      <c r="E38">
        <v>1939193990</v>
      </c>
      <c r="F38" t="s">
        <v>150</v>
      </c>
      <c r="G38" t="s">
        <v>149</v>
      </c>
      <c r="H38">
        <v>1</v>
      </c>
      <c r="I38">
        <v>1</v>
      </c>
      <c r="J38">
        <v>1</v>
      </c>
      <c r="K38">
        <v>1</v>
      </c>
      <c r="L38">
        <v>1</v>
      </c>
      <c r="M38">
        <v>7</v>
      </c>
      <c r="N38">
        <v>1</v>
      </c>
      <c r="O38">
        <v>1</v>
      </c>
      <c r="P38">
        <v>4</v>
      </c>
      <c r="Q38">
        <v>1</v>
      </c>
      <c r="R38">
        <v>2</v>
      </c>
      <c r="S38">
        <v>2</v>
      </c>
      <c r="T38">
        <v>3</v>
      </c>
      <c r="U38">
        <v>7</v>
      </c>
      <c r="V38">
        <v>2</v>
      </c>
      <c r="W38">
        <v>2</v>
      </c>
      <c r="X38">
        <v>6</v>
      </c>
      <c r="Y38">
        <v>6</v>
      </c>
      <c r="Z38">
        <v>5</v>
      </c>
      <c r="AA38">
        <v>6</v>
      </c>
      <c r="AB38">
        <v>6</v>
      </c>
      <c r="AC38">
        <v>7</v>
      </c>
      <c r="AD38">
        <v>6</v>
      </c>
      <c r="AE38">
        <v>6</v>
      </c>
      <c r="AF38">
        <v>6</v>
      </c>
      <c r="AG38">
        <v>4</v>
      </c>
      <c r="AH38">
        <v>3</v>
      </c>
      <c r="AI38">
        <v>4</v>
      </c>
      <c r="AJ38">
        <v>5</v>
      </c>
      <c r="AK38">
        <v>7</v>
      </c>
      <c r="AL38">
        <v>2</v>
      </c>
      <c r="AM38">
        <v>3</v>
      </c>
      <c r="AN38">
        <v>2</v>
      </c>
      <c r="AO38">
        <v>4</v>
      </c>
      <c r="AP38">
        <v>2</v>
      </c>
      <c r="AQ38">
        <v>2</v>
      </c>
      <c r="AR38">
        <v>4</v>
      </c>
      <c r="AS38">
        <v>7</v>
      </c>
      <c r="AT38">
        <v>1</v>
      </c>
      <c r="AU38">
        <v>2</v>
      </c>
      <c r="AV38">
        <v>7</v>
      </c>
      <c r="AW38">
        <v>7</v>
      </c>
      <c r="AX38">
        <v>7</v>
      </c>
      <c r="AY38">
        <v>4</v>
      </c>
      <c r="AZ38">
        <v>7</v>
      </c>
      <c r="BA38">
        <v>1</v>
      </c>
      <c r="BB38">
        <v>7</v>
      </c>
      <c r="BC38">
        <v>5</v>
      </c>
      <c r="BD38" t="s">
        <v>74</v>
      </c>
      <c r="BE38" t="s">
        <v>75</v>
      </c>
      <c r="BF38" t="s">
        <v>73</v>
      </c>
      <c r="BG38" t="s">
        <v>78</v>
      </c>
      <c r="BH38" t="s">
        <v>76</v>
      </c>
      <c r="BI38" t="s">
        <v>77</v>
      </c>
      <c r="BJ38">
        <v>22</v>
      </c>
      <c r="BK38">
        <v>1</v>
      </c>
      <c r="BL38">
        <f>IF(Tabelle1[[#This Row],[Abschluss]]=2,1,0)</f>
        <v>0</v>
      </c>
      <c r="BM38">
        <f>IF(Tabelle1[[#This Row],[Abschluss]]=3,1,0)</f>
        <v>0</v>
      </c>
      <c r="BN38">
        <f>IF(Tabelle1[[#This Row],[Abschluss]]=4,1,0)</f>
        <v>0</v>
      </c>
      <c r="BO38">
        <f>IF(Tabelle1[[#This Row],[Abschluss]]=5,1,0)</f>
        <v>0</v>
      </c>
      <c r="BP38">
        <v>1</v>
      </c>
      <c r="BQ38">
        <f>IF(Tabelle1[[#This Row],[Vorwissen_tech]]=1,1,0)</f>
        <v>1</v>
      </c>
      <c r="BR38">
        <f>IF(Tabelle1[[#This Row],[Vorwissen_tech]]=2,1,0)</f>
        <v>0</v>
      </c>
      <c r="BS38">
        <v>0</v>
      </c>
      <c r="BT38">
        <f>IF(Tabelle1[[#This Row],[Vorwissen_fach]]=1,1,0)</f>
        <v>0</v>
      </c>
      <c r="BU38">
        <f>IF(Tabelle1[[#This Row],[Vorwissen_fach]]=2,1,0)</f>
        <v>0</v>
      </c>
      <c r="BV38">
        <f>IF(Tabelle1[[#This Row],[Vorwissen_tech]]=2,1,0)</f>
        <v>0</v>
      </c>
      <c r="BX38">
        <v>1095.46</v>
      </c>
      <c r="BY38">
        <v>75.42</v>
      </c>
      <c r="BZ38">
        <v>124.15</v>
      </c>
      <c r="CA38">
        <v>192.59</v>
      </c>
      <c r="CB38">
        <v>154.22</v>
      </c>
      <c r="CC38">
        <v>236.03</v>
      </c>
      <c r="CD38">
        <v>212.54</v>
      </c>
      <c r="CE38">
        <v>72.27</v>
      </c>
      <c r="CF38">
        <v>28.24</v>
      </c>
    </row>
    <row r="39" spans="1:84" x14ac:dyDescent="0.2">
      <c r="A39">
        <v>256</v>
      </c>
      <c r="B39" t="s">
        <v>151</v>
      </c>
      <c r="C39">
        <v>8</v>
      </c>
      <c r="D39" t="s">
        <v>71</v>
      </c>
      <c r="E39">
        <v>492710493</v>
      </c>
      <c r="F39" t="s">
        <v>152</v>
      </c>
      <c r="G39" t="s">
        <v>151</v>
      </c>
      <c r="H39">
        <v>6</v>
      </c>
      <c r="I39">
        <v>5</v>
      </c>
      <c r="J39">
        <v>6</v>
      </c>
      <c r="K39">
        <v>5</v>
      </c>
      <c r="L39">
        <v>6</v>
      </c>
      <c r="M39">
        <v>6</v>
      </c>
      <c r="N39">
        <v>3</v>
      </c>
      <c r="O39">
        <v>4</v>
      </c>
      <c r="P39">
        <v>5</v>
      </c>
      <c r="Q39">
        <v>4</v>
      </c>
      <c r="R39">
        <v>3</v>
      </c>
      <c r="S39">
        <v>4</v>
      </c>
      <c r="T39">
        <v>4</v>
      </c>
      <c r="U39">
        <v>5</v>
      </c>
      <c r="V39">
        <v>3</v>
      </c>
      <c r="W39">
        <v>3</v>
      </c>
      <c r="X39">
        <v>6</v>
      </c>
      <c r="Y39">
        <v>6</v>
      </c>
      <c r="Z39">
        <v>5</v>
      </c>
      <c r="AA39">
        <v>6</v>
      </c>
      <c r="AB39">
        <v>6</v>
      </c>
      <c r="AC39">
        <v>7</v>
      </c>
      <c r="AD39">
        <v>5</v>
      </c>
      <c r="AE39">
        <v>6</v>
      </c>
      <c r="AF39">
        <v>7</v>
      </c>
      <c r="AG39">
        <v>7</v>
      </c>
      <c r="AH39">
        <v>6</v>
      </c>
      <c r="AI39">
        <v>6</v>
      </c>
      <c r="AJ39">
        <v>6</v>
      </c>
      <c r="AK39">
        <v>6</v>
      </c>
      <c r="AL39">
        <v>5</v>
      </c>
      <c r="AM39">
        <v>6</v>
      </c>
      <c r="AN39">
        <v>2</v>
      </c>
      <c r="AO39">
        <v>3</v>
      </c>
      <c r="AP39">
        <v>3</v>
      </c>
      <c r="AQ39">
        <v>5</v>
      </c>
      <c r="AR39">
        <v>4</v>
      </c>
      <c r="AS39">
        <v>4</v>
      </c>
      <c r="AT39">
        <v>3</v>
      </c>
      <c r="AU39">
        <v>4</v>
      </c>
      <c r="AV39">
        <v>6</v>
      </c>
      <c r="AW39">
        <v>5</v>
      </c>
      <c r="AX39">
        <v>5</v>
      </c>
      <c r="AY39">
        <v>5</v>
      </c>
      <c r="AZ39">
        <v>5</v>
      </c>
      <c r="BA39">
        <v>6</v>
      </c>
      <c r="BB39">
        <v>5</v>
      </c>
      <c r="BC39">
        <v>3</v>
      </c>
      <c r="BD39" t="s">
        <v>73</v>
      </c>
      <c r="BE39" t="s">
        <v>75</v>
      </c>
      <c r="BF39" t="s">
        <v>77</v>
      </c>
      <c r="BG39" t="s">
        <v>78</v>
      </c>
      <c r="BH39" t="s">
        <v>74</v>
      </c>
      <c r="BI39" t="s">
        <v>76</v>
      </c>
      <c r="BJ39">
        <v>20</v>
      </c>
      <c r="BK39">
        <v>1</v>
      </c>
      <c r="BL39">
        <f>IF(Tabelle1[[#This Row],[Abschluss]]=2,1,0)</f>
        <v>0</v>
      </c>
      <c r="BM39">
        <f>IF(Tabelle1[[#This Row],[Abschluss]]=3,1,0)</f>
        <v>0</v>
      </c>
      <c r="BN39">
        <f>IF(Tabelle1[[#This Row],[Abschluss]]=4,1,0)</f>
        <v>0</v>
      </c>
      <c r="BO39">
        <f>IF(Tabelle1[[#This Row],[Abschluss]]=5,1,0)</f>
        <v>0</v>
      </c>
      <c r="BP39">
        <v>1</v>
      </c>
      <c r="BQ39">
        <f>IF(Tabelle1[[#This Row],[Vorwissen_tech]]=1,1,0)</f>
        <v>1</v>
      </c>
      <c r="BR39">
        <f>IF(Tabelle1[[#This Row],[Vorwissen_tech]]=2,1,0)</f>
        <v>0</v>
      </c>
      <c r="BS39">
        <v>0</v>
      </c>
      <c r="BT39">
        <f>IF(Tabelle1[[#This Row],[Vorwissen_fach]]=1,1,0)</f>
        <v>0</v>
      </c>
      <c r="BU39">
        <f>IF(Tabelle1[[#This Row],[Vorwissen_fach]]=2,1,0)</f>
        <v>0</v>
      </c>
      <c r="BV39">
        <f>IF(Tabelle1[[#This Row],[Vorwissen_tech]]=2,1,0)</f>
        <v>0</v>
      </c>
      <c r="BX39">
        <v>782.16</v>
      </c>
      <c r="BY39">
        <v>165.58</v>
      </c>
      <c r="BZ39">
        <v>66.06</v>
      </c>
      <c r="CA39">
        <v>49.5</v>
      </c>
      <c r="CB39">
        <v>265.62</v>
      </c>
      <c r="CC39">
        <v>56.51</v>
      </c>
      <c r="CD39">
        <v>105.03</v>
      </c>
      <c r="CE39">
        <v>55.56</v>
      </c>
      <c r="CF39">
        <v>18.3</v>
      </c>
    </row>
    <row r="40" spans="1:84" x14ac:dyDescent="0.2">
      <c r="A40">
        <v>262</v>
      </c>
      <c r="B40" t="s">
        <v>153</v>
      </c>
      <c r="C40">
        <v>8</v>
      </c>
      <c r="D40" t="s">
        <v>71</v>
      </c>
      <c r="E40">
        <v>1154367576</v>
      </c>
      <c r="F40" t="s">
        <v>154</v>
      </c>
      <c r="G40" t="s">
        <v>153</v>
      </c>
      <c r="H40">
        <v>4</v>
      </c>
      <c r="I40">
        <v>2</v>
      </c>
      <c r="J40">
        <v>2</v>
      </c>
      <c r="K40">
        <v>3</v>
      </c>
      <c r="L40">
        <v>2</v>
      </c>
      <c r="M40">
        <v>6</v>
      </c>
      <c r="N40">
        <v>1</v>
      </c>
      <c r="O40">
        <v>2</v>
      </c>
      <c r="P40">
        <v>6</v>
      </c>
      <c r="Q40">
        <v>6</v>
      </c>
      <c r="R40">
        <v>7</v>
      </c>
      <c r="S40">
        <v>4</v>
      </c>
      <c r="T40">
        <v>6</v>
      </c>
      <c r="U40">
        <v>7</v>
      </c>
      <c r="V40">
        <v>6</v>
      </c>
      <c r="W40">
        <v>5</v>
      </c>
      <c r="X40">
        <v>6</v>
      </c>
      <c r="Y40">
        <v>7</v>
      </c>
      <c r="Z40">
        <v>7</v>
      </c>
      <c r="AA40">
        <v>7</v>
      </c>
      <c r="AB40">
        <v>7</v>
      </c>
      <c r="AC40">
        <v>7</v>
      </c>
      <c r="AD40">
        <v>6</v>
      </c>
      <c r="AE40">
        <v>6</v>
      </c>
      <c r="AF40">
        <v>6</v>
      </c>
      <c r="AG40">
        <v>3</v>
      </c>
      <c r="AH40">
        <v>5</v>
      </c>
      <c r="AI40">
        <v>4</v>
      </c>
      <c r="AJ40">
        <v>4</v>
      </c>
      <c r="AK40">
        <v>7</v>
      </c>
      <c r="AL40">
        <v>4</v>
      </c>
      <c r="AM40">
        <v>4</v>
      </c>
      <c r="AN40">
        <v>2</v>
      </c>
      <c r="AO40">
        <v>1</v>
      </c>
      <c r="AP40">
        <v>7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7</v>
      </c>
      <c r="AW40">
        <v>7</v>
      </c>
      <c r="AX40">
        <v>7</v>
      </c>
      <c r="AY40">
        <v>7</v>
      </c>
      <c r="AZ40">
        <v>7</v>
      </c>
      <c r="BA40">
        <v>7</v>
      </c>
      <c r="BB40">
        <v>7</v>
      </c>
      <c r="BC40">
        <v>7</v>
      </c>
      <c r="BD40" t="s">
        <v>74</v>
      </c>
      <c r="BE40" t="s">
        <v>75</v>
      </c>
      <c r="BF40" t="s">
        <v>77</v>
      </c>
      <c r="BG40" t="s">
        <v>78</v>
      </c>
      <c r="BH40" t="s">
        <v>73</v>
      </c>
      <c r="BI40" t="s">
        <v>76</v>
      </c>
      <c r="BJ40">
        <v>55</v>
      </c>
      <c r="BK40">
        <v>4</v>
      </c>
      <c r="BL40">
        <f>IF(Tabelle1[[#This Row],[Abschluss]]=2,1,0)</f>
        <v>0</v>
      </c>
      <c r="BM40">
        <f>IF(Tabelle1[[#This Row],[Abschluss]]=3,1,0)</f>
        <v>0</v>
      </c>
      <c r="BN40">
        <f>IF(Tabelle1[[#This Row],[Abschluss]]=4,1,0)</f>
        <v>1</v>
      </c>
      <c r="BO40">
        <f>IF(Tabelle1[[#This Row],[Abschluss]]=5,1,0)</f>
        <v>0</v>
      </c>
      <c r="BP40">
        <v>0</v>
      </c>
      <c r="BQ40">
        <f>IF(Tabelle1[[#This Row],[Vorwissen_tech]]=1,1,0)</f>
        <v>0</v>
      </c>
      <c r="BR40">
        <f>IF(Tabelle1[[#This Row],[Vorwissen_tech]]=2,1,0)</f>
        <v>0</v>
      </c>
      <c r="BS40">
        <v>0</v>
      </c>
      <c r="BT40">
        <f>IF(Tabelle1[[#This Row],[Vorwissen_fach]]=1,1,0)</f>
        <v>0</v>
      </c>
      <c r="BU40">
        <f>IF(Tabelle1[[#This Row],[Vorwissen_fach]]=2,1,0)</f>
        <v>0</v>
      </c>
      <c r="BV40">
        <f>IF(Tabelle1[[#This Row],[Vorwissen_tech]]=2,1,0)</f>
        <v>0</v>
      </c>
      <c r="BX40">
        <v>1683.57</v>
      </c>
      <c r="BY40">
        <v>253.64</v>
      </c>
      <c r="BZ40">
        <v>151.24</v>
      </c>
      <c r="CA40">
        <v>175.29</v>
      </c>
      <c r="CB40">
        <v>477.31</v>
      </c>
      <c r="CC40">
        <v>356.21</v>
      </c>
      <c r="CD40">
        <v>132.11000000000001</v>
      </c>
      <c r="CE40">
        <v>82.56</v>
      </c>
      <c r="CF40">
        <v>55.21</v>
      </c>
    </row>
    <row r="41" spans="1:84" x14ac:dyDescent="0.2">
      <c r="A41">
        <v>265</v>
      </c>
      <c r="B41" t="s">
        <v>155</v>
      </c>
      <c r="C41">
        <v>8</v>
      </c>
      <c r="D41" t="s">
        <v>71</v>
      </c>
      <c r="E41">
        <v>947245329</v>
      </c>
      <c r="F41" t="s">
        <v>156</v>
      </c>
      <c r="G41" t="s">
        <v>155</v>
      </c>
      <c r="H41">
        <v>2</v>
      </c>
      <c r="I41">
        <v>3</v>
      </c>
      <c r="J41">
        <v>2</v>
      </c>
      <c r="K41">
        <v>6</v>
      </c>
      <c r="L41">
        <v>3</v>
      </c>
      <c r="M41">
        <v>2</v>
      </c>
      <c r="N41">
        <v>2</v>
      </c>
      <c r="O41">
        <v>1</v>
      </c>
      <c r="P41">
        <v>6</v>
      </c>
      <c r="Q41">
        <v>5</v>
      </c>
      <c r="R41">
        <v>2</v>
      </c>
      <c r="S41">
        <v>7</v>
      </c>
      <c r="T41">
        <v>3</v>
      </c>
      <c r="U41">
        <v>4</v>
      </c>
      <c r="V41">
        <v>3</v>
      </c>
      <c r="W41">
        <v>1</v>
      </c>
      <c r="X41">
        <v>7</v>
      </c>
      <c r="Y41">
        <v>7</v>
      </c>
      <c r="Z41">
        <v>7</v>
      </c>
      <c r="AA41">
        <v>7</v>
      </c>
      <c r="AB41">
        <v>3</v>
      </c>
      <c r="AC41">
        <v>7</v>
      </c>
      <c r="AD41">
        <v>7</v>
      </c>
      <c r="AE41">
        <v>7</v>
      </c>
      <c r="AF41">
        <v>5</v>
      </c>
      <c r="AG41">
        <v>7</v>
      </c>
      <c r="AH41">
        <v>7</v>
      </c>
      <c r="AI41">
        <v>7</v>
      </c>
      <c r="AJ41">
        <v>4</v>
      </c>
      <c r="AK41">
        <v>7</v>
      </c>
      <c r="AL41">
        <v>5</v>
      </c>
      <c r="AM41">
        <v>7</v>
      </c>
      <c r="AN41">
        <v>5</v>
      </c>
      <c r="AO41">
        <v>7</v>
      </c>
      <c r="AP41">
        <v>7</v>
      </c>
      <c r="AQ41">
        <v>7</v>
      </c>
      <c r="AR41">
        <v>4</v>
      </c>
      <c r="AS41">
        <v>7</v>
      </c>
      <c r="AT41">
        <v>6</v>
      </c>
      <c r="AU41">
        <v>6</v>
      </c>
      <c r="AV41">
        <v>1</v>
      </c>
      <c r="AW41">
        <v>1</v>
      </c>
      <c r="AX41">
        <v>5</v>
      </c>
      <c r="AY41">
        <v>4</v>
      </c>
      <c r="AZ41">
        <v>6</v>
      </c>
      <c r="BA41">
        <v>1</v>
      </c>
      <c r="BB41">
        <v>2</v>
      </c>
      <c r="BC41">
        <v>2</v>
      </c>
      <c r="BD41" t="s">
        <v>75</v>
      </c>
      <c r="BE41" t="s">
        <v>73</v>
      </c>
      <c r="BF41" t="s">
        <v>78</v>
      </c>
      <c r="BG41" t="s">
        <v>76</v>
      </c>
      <c r="BH41" t="s">
        <v>77</v>
      </c>
      <c r="BI41" t="s">
        <v>74</v>
      </c>
      <c r="BJ41">
        <v>28</v>
      </c>
      <c r="BK41">
        <v>3</v>
      </c>
      <c r="BL41">
        <f>IF(Tabelle1[[#This Row],[Abschluss]]=2,1,0)</f>
        <v>0</v>
      </c>
      <c r="BM41">
        <f>IF(Tabelle1[[#This Row],[Abschluss]]=3,1,0)</f>
        <v>1</v>
      </c>
      <c r="BN41">
        <f>IF(Tabelle1[[#This Row],[Abschluss]]=4,1,0)</f>
        <v>0</v>
      </c>
      <c r="BO41">
        <f>IF(Tabelle1[[#This Row],[Abschluss]]=5,1,0)</f>
        <v>0</v>
      </c>
      <c r="BP41">
        <v>0</v>
      </c>
      <c r="BQ41">
        <f>IF(Tabelle1[[#This Row],[Vorwissen_tech]]=1,1,0)</f>
        <v>0</v>
      </c>
      <c r="BR41">
        <f>IF(Tabelle1[[#This Row],[Vorwissen_tech]]=2,1,0)</f>
        <v>0</v>
      </c>
      <c r="BS41">
        <v>0</v>
      </c>
      <c r="BT41">
        <f>IF(Tabelle1[[#This Row],[Vorwissen_fach]]=1,1,0)</f>
        <v>0</v>
      </c>
      <c r="BU41">
        <f>IF(Tabelle1[[#This Row],[Vorwissen_fach]]=2,1,0)</f>
        <v>0</v>
      </c>
      <c r="BV41">
        <f>IF(Tabelle1[[#This Row],[Vorwissen_tech]]=2,1,0)</f>
        <v>0</v>
      </c>
      <c r="BX41">
        <v>694.56</v>
      </c>
      <c r="BY41">
        <v>93.62</v>
      </c>
      <c r="BZ41">
        <v>124.66</v>
      </c>
      <c r="CA41">
        <v>52.58</v>
      </c>
      <c r="CB41">
        <v>90.52</v>
      </c>
      <c r="CC41">
        <v>104.94</v>
      </c>
      <c r="CD41">
        <v>104.59</v>
      </c>
      <c r="CE41">
        <v>88.16</v>
      </c>
      <c r="CF41">
        <v>35.49</v>
      </c>
    </row>
    <row r="42" spans="1:84" x14ac:dyDescent="0.2">
      <c r="A42">
        <v>268</v>
      </c>
      <c r="B42" t="s">
        <v>157</v>
      </c>
      <c r="C42">
        <v>8</v>
      </c>
      <c r="D42" t="s">
        <v>71</v>
      </c>
      <c r="E42">
        <v>2146145180</v>
      </c>
      <c r="F42" t="s">
        <v>158</v>
      </c>
      <c r="G42" t="s">
        <v>157</v>
      </c>
      <c r="H42">
        <v>7</v>
      </c>
      <c r="I42">
        <v>7</v>
      </c>
      <c r="J42">
        <v>7</v>
      </c>
      <c r="K42">
        <v>6</v>
      </c>
      <c r="L42">
        <v>6</v>
      </c>
      <c r="M42">
        <v>6</v>
      </c>
      <c r="N42">
        <v>5</v>
      </c>
      <c r="O42">
        <v>6</v>
      </c>
      <c r="P42">
        <v>7</v>
      </c>
      <c r="Q42">
        <v>7</v>
      </c>
      <c r="R42">
        <v>7</v>
      </c>
      <c r="S42">
        <v>6</v>
      </c>
      <c r="T42">
        <v>6</v>
      </c>
      <c r="U42">
        <v>7</v>
      </c>
      <c r="V42">
        <v>7</v>
      </c>
      <c r="W42">
        <v>6</v>
      </c>
      <c r="X42">
        <v>7</v>
      </c>
      <c r="Y42">
        <v>6</v>
      </c>
      <c r="Z42">
        <v>6</v>
      </c>
      <c r="AA42">
        <v>6</v>
      </c>
      <c r="AB42">
        <v>5</v>
      </c>
      <c r="AC42">
        <v>6</v>
      </c>
      <c r="AD42">
        <v>6</v>
      </c>
      <c r="AE42">
        <v>7</v>
      </c>
      <c r="AF42">
        <v>6</v>
      </c>
      <c r="AG42">
        <v>6</v>
      </c>
      <c r="AH42">
        <v>6</v>
      </c>
      <c r="AI42">
        <v>6</v>
      </c>
      <c r="AJ42">
        <v>6</v>
      </c>
      <c r="AK42">
        <v>6</v>
      </c>
      <c r="AL42">
        <v>6</v>
      </c>
      <c r="AM42">
        <v>6</v>
      </c>
      <c r="AN42">
        <v>5</v>
      </c>
      <c r="AO42">
        <v>6</v>
      </c>
      <c r="AP42">
        <v>6</v>
      </c>
      <c r="AQ42">
        <v>4</v>
      </c>
      <c r="AR42">
        <v>5</v>
      </c>
      <c r="AS42">
        <v>4</v>
      </c>
      <c r="AT42">
        <v>5</v>
      </c>
      <c r="AU42">
        <v>5</v>
      </c>
      <c r="AV42">
        <v>7</v>
      </c>
      <c r="AW42">
        <v>7</v>
      </c>
      <c r="AX42">
        <v>7</v>
      </c>
      <c r="AY42">
        <v>7</v>
      </c>
      <c r="AZ42">
        <v>7</v>
      </c>
      <c r="BA42">
        <v>7</v>
      </c>
      <c r="BB42">
        <v>7</v>
      </c>
      <c r="BC42">
        <v>7</v>
      </c>
      <c r="BD42" t="s">
        <v>74</v>
      </c>
      <c r="BE42" t="s">
        <v>78</v>
      </c>
      <c r="BF42" t="s">
        <v>76</v>
      </c>
      <c r="BG42" t="s">
        <v>73</v>
      </c>
      <c r="BH42" t="s">
        <v>77</v>
      </c>
      <c r="BI42" t="s">
        <v>75</v>
      </c>
      <c r="BJ42">
        <v>75</v>
      </c>
      <c r="BK42">
        <v>4</v>
      </c>
      <c r="BL42">
        <f>IF(Tabelle1[[#This Row],[Abschluss]]=2,1,0)</f>
        <v>0</v>
      </c>
      <c r="BM42">
        <f>IF(Tabelle1[[#This Row],[Abschluss]]=3,1,0)</f>
        <v>0</v>
      </c>
      <c r="BN42">
        <f>IF(Tabelle1[[#This Row],[Abschluss]]=4,1,0)</f>
        <v>1</v>
      </c>
      <c r="BO42">
        <f>IF(Tabelle1[[#This Row],[Abschluss]]=5,1,0)</f>
        <v>0</v>
      </c>
      <c r="BP42">
        <v>0</v>
      </c>
      <c r="BQ42">
        <f>IF(Tabelle1[[#This Row],[Vorwissen_tech]]=1,1,0)</f>
        <v>0</v>
      </c>
      <c r="BR42">
        <f>IF(Tabelle1[[#This Row],[Vorwissen_tech]]=2,1,0)</f>
        <v>0</v>
      </c>
      <c r="BS42">
        <v>0</v>
      </c>
      <c r="BT42">
        <f>IF(Tabelle1[[#This Row],[Vorwissen_fach]]=1,1,0)</f>
        <v>0</v>
      </c>
      <c r="BU42">
        <f>IF(Tabelle1[[#This Row],[Vorwissen_fach]]=2,1,0)</f>
        <v>0</v>
      </c>
      <c r="BV42">
        <f>IF(Tabelle1[[#This Row],[Vorwissen_tech]]=2,1,0)</f>
        <v>0</v>
      </c>
      <c r="BX42">
        <v>1043.1199999999999</v>
      </c>
      <c r="BY42">
        <v>107.92</v>
      </c>
      <c r="BZ42">
        <v>165.09</v>
      </c>
      <c r="CA42">
        <v>123.34</v>
      </c>
      <c r="CB42">
        <v>169.13</v>
      </c>
      <c r="CC42">
        <v>151.69</v>
      </c>
      <c r="CD42">
        <v>155.61000000000001</v>
      </c>
      <c r="CE42">
        <v>111.32</v>
      </c>
      <c r="CF42">
        <v>59.02</v>
      </c>
    </row>
    <row r="43" spans="1:84" x14ac:dyDescent="0.2">
      <c r="A43">
        <v>277</v>
      </c>
      <c r="B43" t="s">
        <v>159</v>
      </c>
      <c r="C43">
        <v>8</v>
      </c>
      <c r="D43" t="s">
        <v>71</v>
      </c>
      <c r="E43">
        <v>36638467</v>
      </c>
      <c r="F43" t="s">
        <v>160</v>
      </c>
      <c r="G43" t="s">
        <v>159</v>
      </c>
      <c r="H43">
        <v>5</v>
      </c>
      <c r="I43">
        <v>7</v>
      </c>
      <c r="J43">
        <v>7</v>
      </c>
      <c r="K43">
        <v>5</v>
      </c>
      <c r="L43">
        <v>7</v>
      </c>
      <c r="M43">
        <v>5</v>
      </c>
      <c r="N43">
        <v>7</v>
      </c>
      <c r="O43">
        <v>6</v>
      </c>
      <c r="P43">
        <v>3</v>
      </c>
      <c r="Q43">
        <v>6</v>
      </c>
      <c r="R43">
        <v>6</v>
      </c>
      <c r="S43">
        <v>5</v>
      </c>
      <c r="T43">
        <v>6</v>
      </c>
      <c r="U43">
        <v>3</v>
      </c>
      <c r="V43">
        <v>5</v>
      </c>
      <c r="W43">
        <v>2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6</v>
      </c>
      <c r="AE43">
        <v>7</v>
      </c>
      <c r="AF43">
        <v>6</v>
      </c>
      <c r="AG43">
        <v>3</v>
      </c>
      <c r="AH43">
        <v>2</v>
      </c>
      <c r="AI43">
        <v>4</v>
      </c>
      <c r="AJ43">
        <v>3</v>
      </c>
      <c r="AK43">
        <v>4</v>
      </c>
      <c r="AL43">
        <v>2</v>
      </c>
      <c r="AM43">
        <v>2</v>
      </c>
      <c r="AN43">
        <v>2</v>
      </c>
      <c r="AO43">
        <v>1</v>
      </c>
      <c r="AP43">
        <v>1</v>
      </c>
      <c r="AQ43">
        <v>3</v>
      </c>
      <c r="AR43">
        <v>3</v>
      </c>
      <c r="AS43">
        <v>2</v>
      </c>
      <c r="AT43">
        <v>3</v>
      </c>
      <c r="AU43">
        <v>2</v>
      </c>
      <c r="AV43">
        <v>6</v>
      </c>
      <c r="AW43">
        <v>5</v>
      </c>
      <c r="AX43">
        <v>6</v>
      </c>
      <c r="AY43">
        <v>6</v>
      </c>
      <c r="AZ43">
        <v>6</v>
      </c>
      <c r="BA43">
        <v>7</v>
      </c>
      <c r="BB43">
        <v>5</v>
      </c>
      <c r="BC43">
        <v>6</v>
      </c>
      <c r="BD43" t="s">
        <v>77</v>
      </c>
      <c r="BE43" t="s">
        <v>75</v>
      </c>
      <c r="BF43" t="s">
        <v>76</v>
      </c>
      <c r="BG43" t="s">
        <v>74</v>
      </c>
      <c r="BH43" t="s">
        <v>78</v>
      </c>
      <c r="BI43" t="s">
        <v>73</v>
      </c>
      <c r="BJ43">
        <v>18</v>
      </c>
      <c r="BK43">
        <v>1</v>
      </c>
      <c r="BL43">
        <f>IF(Tabelle1[[#This Row],[Abschluss]]=2,1,0)</f>
        <v>0</v>
      </c>
      <c r="BM43">
        <f>IF(Tabelle1[[#This Row],[Abschluss]]=3,1,0)</f>
        <v>0</v>
      </c>
      <c r="BN43">
        <f>IF(Tabelle1[[#This Row],[Abschluss]]=4,1,0)</f>
        <v>0</v>
      </c>
      <c r="BO43">
        <f>IF(Tabelle1[[#This Row],[Abschluss]]=5,1,0)</f>
        <v>0</v>
      </c>
      <c r="BP43">
        <v>0</v>
      </c>
      <c r="BQ43">
        <f>IF(Tabelle1[[#This Row],[Vorwissen_tech]]=1,1,0)</f>
        <v>0</v>
      </c>
      <c r="BR43">
        <f>IF(Tabelle1[[#This Row],[Vorwissen_tech]]=2,1,0)</f>
        <v>0</v>
      </c>
      <c r="BS43">
        <v>0</v>
      </c>
      <c r="BT43">
        <f>IF(Tabelle1[[#This Row],[Vorwissen_fach]]=1,1,0)</f>
        <v>0</v>
      </c>
      <c r="BU43">
        <f>IF(Tabelle1[[#This Row],[Vorwissen_fach]]=2,1,0)</f>
        <v>0</v>
      </c>
      <c r="BV43">
        <f>IF(Tabelle1[[#This Row],[Vorwissen_tech]]=2,1,0)</f>
        <v>0</v>
      </c>
      <c r="BX43">
        <v>415.99</v>
      </c>
      <c r="BY43">
        <v>80.63</v>
      </c>
      <c r="BZ43">
        <v>55.49</v>
      </c>
      <c r="CA43">
        <v>45.57</v>
      </c>
      <c r="CB43">
        <v>74.209999999999994</v>
      </c>
      <c r="CC43">
        <v>38.29</v>
      </c>
      <c r="CD43">
        <v>41.99</v>
      </c>
      <c r="CE43">
        <v>48.98</v>
      </c>
      <c r="CF43">
        <v>30.83</v>
      </c>
    </row>
    <row r="44" spans="1:84" x14ac:dyDescent="0.2">
      <c r="A44">
        <v>280</v>
      </c>
      <c r="B44" t="s">
        <v>161</v>
      </c>
      <c r="C44">
        <v>8</v>
      </c>
      <c r="D44" t="s">
        <v>71</v>
      </c>
      <c r="E44">
        <v>1318797659</v>
      </c>
      <c r="F44" t="s">
        <v>162</v>
      </c>
      <c r="G44" t="s">
        <v>161</v>
      </c>
      <c r="H44">
        <v>2</v>
      </c>
      <c r="I44">
        <v>2</v>
      </c>
      <c r="J44">
        <v>4</v>
      </c>
      <c r="K44">
        <v>1</v>
      </c>
      <c r="L44">
        <v>2</v>
      </c>
      <c r="M44">
        <v>7</v>
      </c>
      <c r="N44">
        <v>1</v>
      </c>
      <c r="O44">
        <v>1</v>
      </c>
      <c r="P44">
        <v>3</v>
      </c>
      <c r="Q44">
        <v>3</v>
      </c>
      <c r="R44">
        <v>3</v>
      </c>
      <c r="S44">
        <v>3</v>
      </c>
      <c r="T44">
        <v>7</v>
      </c>
      <c r="U44">
        <v>7</v>
      </c>
      <c r="V44">
        <v>2</v>
      </c>
      <c r="W44">
        <v>3</v>
      </c>
      <c r="X44">
        <v>7</v>
      </c>
      <c r="Y44">
        <v>7</v>
      </c>
      <c r="Z44">
        <v>7</v>
      </c>
      <c r="AA44">
        <v>7</v>
      </c>
      <c r="AB44">
        <v>7</v>
      </c>
      <c r="AC44">
        <v>7</v>
      </c>
      <c r="AD44">
        <v>5</v>
      </c>
      <c r="AE44">
        <v>7</v>
      </c>
      <c r="AF44">
        <v>6</v>
      </c>
      <c r="AG44">
        <v>6</v>
      </c>
      <c r="AH44">
        <v>6</v>
      </c>
      <c r="AI44">
        <v>7</v>
      </c>
      <c r="AJ44">
        <v>7</v>
      </c>
      <c r="AK44">
        <v>7</v>
      </c>
      <c r="AL44">
        <v>6</v>
      </c>
      <c r="AM44">
        <v>7</v>
      </c>
      <c r="AN44">
        <v>4</v>
      </c>
      <c r="AO44">
        <v>5</v>
      </c>
      <c r="AP44">
        <v>7</v>
      </c>
      <c r="AQ44">
        <v>5</v>
      </c>
      <c r="AR44">
        <v>7</v>
      </c>
      <c r="AS44">
        <v>7</v>
      </c>
      <c r="AT44">
        <v>3</v>
      </c>
      <c r="AU44">
        <v>7</v>
      </c>
      <c r="AV44">
        <v>7</v>
      </c>
      <c r="AW44">
        <v>7</v>
      </c>
      <c r="AX44">
        <v>7</v>
      </c>
      <c r="AY44">
        <v>7</v>
      </c>
      <c r="AZ44">
        <v>7</v>
      </c>
      <c r="BA44">
        <v>7</v>
      </c>
      <c r="BB44">
        <v>6</v>
      </c>
      <c r="BC44">
        <v>7</v>
      </c>
      <c r="BD44" t="s">
        <v>74</v>
      </c>
      <c r="BE44" t="s">
        <v>75</v>
      </c>
      <c r="BF44" t="s">
        <v>78</v>
      </c>
      <c r="BG44" t="s">
        <v>73</v>
      </c>
      <c r="BH44" t="s">
        <v>76</v>
      </c>
      <c r="BI44" t="s">
        <v>77</v>
      </c>
      <c r="BJ44">
        <v>40</v>
      </c>
      <c r="BK44">
        <v>3</v>
      </c>
      <c r="BL44">
        <f>IF(Tabelle1[[#This Row],[Abschluss]]=2,1,0)</f>
        <v>0</v>
      </c>
      <c r="BM44">
        <f>IF(Tabelle1[[#This Row],[Abschluss]]=3,1,0)</f>
        <v>1</v>
      </c>
      <c r="BN44">
        <f>IF(Tabelle1[[#This Row],[Abschluss]]=4,1,0)</f>
        <v>0</v>
      </c>
      <c r="BO44">
        <f>IF(Tabelle1[[#This Row],[Abschluss]]=5,1,0)</f>
        <v>0</v>
      </c>
      <c r="BP44">
        <v>0</v>
      </c>
      <c r="BQ44">
        <f>IF(Tabelle1[[#This Row],[Vorwissen_tech]]=1,1,0)</f>
        <v>0</v>
      </c>
      <c r="BR44">
        <f>IF(Tabelle1[[#This Row],[Vorwissen_tech]]=2,1,0)</f>
        <v>0</v>
      </c>
      <c r="BS44">
        <v>0</v>
      </c>
      <c r="BT44">
        <f>IF(Tabelle1[[#This Row],[Vorwissen_fach]]=1,1,0)</f>
        <v>0</v>
      </c>
      <c r="BU44">
        <f>IF(Tabelle1[[#This Row],[Vorwissen_fach]]=2,1,0)</f>
        <v>0</v>
      </c>
      <c r="BV44">
        <f>IF(Tabelle1[[#This Row],[Vorwissen_tech]]=2,1,0)</f>
        <v>0</v>
      </c>
      <c r="BX44">
        <v>832.64</v>
      </c>
      <c r="BY44">
        <v>92.88</v>
      </c>
      <c r="BZ44">
        <v>120.63</v>
      </c>
      <c r="CA44">
        <v>66.430000000000007</v>
      </c>
      <c r="CB44">
        <v>146.44999999999999</v>
      </c>
      <c r="CC44">
        <v>103.94</v>
      </c>
      <c r="CD44">
        <v>182.25</v>
      </c>
      <c r="CE44">
        <v>96</v>
      </c>
      <c r="CF44">
        <v>24.06</v>
      </c>
    </row>
    <row r="45" spans="1:84" x14ac:dyDescent="0.2">
      <c r="A45">
        <v>286</v>
      </c>
      <c r="B45" t="s">
        <v>163</v>
      </c>
      <c r="C45">
        <v>8</v>
      </c>
      <c r="D45" t="s">
        <v>71</v>
      </c>
      <c r="E45">
        <v>1360022493</v>
      </c>
      <c r="F45" t="s">
        <v>164</v>
      </c>
      <c r="G45" t="s">
        <v>163</v>
      </c>
      <c r="H45">
        <v>1</v>
      </c>
      <c r="I45">
        <v>2</v>
      </c>
      <c r="J45">
        <v>1</v>
      </c>
      <c r="K45">
        <v>2</v>
      </c>
      <c r="L45">
        <v>2</v>
      </c>
      <c r="M45">
        <v>1</v>
      </c>
      <c r="N45">
        <v>1</v>
      </c>
      <c r="O45">
        <v>1</v>
      </c>
      <c r="P45">
        <v>3</v>
      </c>
      <c r="Q45">
        <v>4</v>
      </c>
      <c r="R45">
        <v>2</v>
      </c>
      <c r="S45">
        <v>2</v>
      </c>
      <c r="T45">
        <v>4</v>
      </c>
      <c r="U45">
        <v>3</v>
      </c>
      <c r="V45">
        <v>2</v>
      </c>
      <c r="W45">
        <v>2</v>
      </c>
      <c r="X45">
        <v>3</v>
      </c>
      <c r="Y45">
        <v>7</v>
      </c>
      <c r="Z45">
        <v>7</v>
      </c>
      <c r="AA45">
        <v>7</v>
      </c>
      <c r="AB45">
        <v>7</v>
      </c>
      <c r="AC45">
        <v>7</v>
      </c>
      <c r="AD45">
        <v>7</v>
      </c>
      <c r="AE45">
        <v>7</v>
      </c>
      <c r="AF45">
        <v>6</v>
      </c>
      <c r="AG45">
        <v>7</v>
      </c>
      <c r="AH45">
        <v>7</v>
      </c>
      <c r="AI45">
        <v>6</v>
      </c>
      <c r="AJ45">
        <v>6</v>
      </c>
      <c r="AK45">
        <v>7</v>
      </c>
      <c r="AL45">
        <v>5</v>
      </c>
      <c r="AM45">
        <v>7</v>
      </c>
      <c r="AN45">
        <v>2</v>
      </c>
      <c r="AO45">
        <v>3</v>
      </c>
      <c r="AP45">
        <v>3</v>
      </c>
      <c r="AQ45">
        <v>2</v>
      </c>
      <c r="AR45">
        <v>5</v>
      </c>
      <c r="AS45">
        <v>1</v>
      </c>
      <c r="AT45">
        <v>3</v>
      </c>
      <c r="AU45">
        <v>1</v>
      </c>
      <c r="AV45">
        <v>7</v>
      </c>
      <c r="AW45">
        <v>7</v>
      </c>
      <c r="AX45">
        <v>7</v>
      </c>
      <c r="AY45">
        <v>7</v>
      </c>
      <c r="AZ45">
        <v>7</v>
      </c>
      <c r="BA45">
        <v>7</v>
      </c>
      <c r="BB45">
        <v>4</v>
      </c>
      <c r="BC45">
        <v>7</v>
      </c>
      <c r="BD45" t="s">
        <v>73</v>
      </c>
      <c r="BE45" t="s">
        <v>74</v>
      </c>
      <c r="BF45" t="s">
        <v>75</v>
      </c>
      <c r="BG45" t="s">
        <v>78</v>
      </c>
      <c r="BH45" t="s">
        <v>76</v>
      </c>
      <c r="BI45" t="s">
        <v>77</v>
      </c>
      <c r="BJ45">
        <v>56</v>
      </c>
      <c r="BK45">
        <v>4</v>
      </c>
      <c r="BL45">
        <f>IF(Tabelle1[[#This Row],[Abschluss]]=2,1,0)</f>
        <v>0</v>
      </c>
      <c r="BM45">
        <f>IF(Tabelle1[[#This Row],[Abschluss]]=3,1,0)</f>
        <v>0</v>
      </c>
      <c r="BN45">
        <f>IF(Tabelle1[[#This Row],[Abschluss]]=4,1,0)</f>
        <v>1</v>
      </c>
      <c r="BO45">
        <f>IF(Tabelle1[[#This Row],[Abschluss]]=5,1,0)</f>
        <v>0</v>
      </c>
      <c r="BP45">
        <v>1</v>
      </c>
      <c r="BQ45">
        <f>IF(Tabelle1[[#This Row],[Vorwissen_tech]]=1,1,0)</f>
        <v>1</v>
      </c>
      <c r="BR45">
        <f>IF(Tabelle1[[#This Row],[Vorwissen_tech]]=2,1,0)</f>
        <v>0</v>
      </c>
      <c r="BS45">
        <v>0</v>
      </c>
      <c r="BT45">
        <f>IF(Tabelle1[[#This Row],[Vorwissen_fach]]=1,1,0)</f>
        <v>0</v>
      </c>
      <c r="BU45">
        <f>IF(Tabelle1[[#This Row],[Vorwissen_fach]]=2,1,0)</f>
        <v>0</v>
      </c>
      <c r="BV45">
        <f>IF(Tabelle1[[#This Row],[Vorwissen_tech]]=2,1,0)</f>
        <v>0</v>
      </c>
      <c r="BX45">
        <v>2611.13</v>
      </c>
      <c r="BY45">
        <v>197.86</v>
      </c>
      <c r="BZ45">
        <v>336.03</v>
      </c>
      <c r="CA45">
        <v>228.78</v>
      </c>
      <c r="CB45">
        <v>480.41</v>
      </c>
      <c r="CC45">
        <v>726.47</v>
      </c>
      <c r="CD45">
        <v>385.07</v>
      </c>
      <c r="CE45">
        <v>208.79</v>
      </c>
      <c r="CF45">
        <v>47.72</v>
      </c>
    </row>
    <row r="46" spans="1:84" x14ac:dyDescent="0.2">
      <c r="A46">
        <v>292</v>
      </c>
      <c r="B46" t="s">
        <v>165</v>
      </c>
      <c r="C46">
        <v>8</v>
      </c>
      <c r="D46" t="s">
        <v>71</v>
      </c>
      <c r="E46">
        <v>1905757717</v>
      </c>
      <c r="F46" t="s">
        <v>166</v>
      </c>
      <c r="G46" t="s">
        <v>165</v>
      </c>
      <c r="H46">
        <v>3</v>
      </c>
      <c r="I46">
        <v>4</v>
      </c>
      <c r="J46">
        <v>4</v>
      </c>
      <c r="K46">
        <v>3</v>
      </c>
      <c r="L46">
        <v>3</v>
      </c>
      <c r="M46">
        <v>6</v>
      </c>
      <c r="N46">
        <v>3</v>
      </c>
      <c r="O46">
        <v>3</v>
      </c>
      <c r="P46">
        <v>6</v>
      </c>
      <c r="Q46">
        <v>7</v>
      </c>
      <c r="R46">
        <v>6</v>
      </c>
      <c r="S46">
        <v>6</v>
      </c>
      <c r="T46">
        <v>6</v>
      </c>
      <c r="U46">
        <v>7</v>
      </c>
      <c r="V46">
        <v>5</v>
      </c>
      <c r="W46">
        <v>7</v>
      </c>
      <c r="X46">
        <v>4</v>
      </c>
      <c r="Y46">
        <v>7</v>
      </c>
      <c r="Z46">
        <v>6</v>
      </c>
      <c r="AA46">
        <v>5</v>
      </c>
      <c r="AB46">
        <v>6</v>
      </c>
      <c r="AC46">
        <v>7</v>
      </c>
      <c r="AD46">
        <v>3</v>
      </c>
      <c r="AE46">
        <v>6</v>
      </c>
      <c r="AF46">
        <v>6</v>
      </c>
      <c r="AG46">
        <v>6</v>
      </c>
      <c r="AH46">
        <v>6</v>
      </c>
      <c r="AI46">
        <v>5</v>
      </c>
      <c r="AJ46">
        <v>6</v>
      </c>
      <c r="AK46">
        <v>6</v>
      </c>
      <c r="AL46">
        <v>5</v>
      </c>
      <c r="AM46">
        <v>5</v>
      </c>
      <c r="AN46">
        <v>2</v>
      </c>
      <c r="AO46">
        <v>5</v>
      </c>
      <c r="AP46">
        <v>5</v>
      </c>
      <c r="AQ46">
        <v>5</v>
      </c>
      <c r="AR46">
        <v>5</v>
      </c>
      <c r="AS46">
        <v>3</v>
      </c>
      <c r="AT46">
        <v>3</v>
      </c>
      <c r="AU46">
        <v>3</v>
      </c>
      <c r="AV46">
        <v>2</v>
      </c>
      <c r="AW46">
        <v>6</v>
      </c>
      <c r="AX46">
        <v>3</v>
      </c>
      <c r="AY46">
        <v>5</v>
      </c>
      <c r="AZ46">
        <v>4</v>
      </c>
      <c r="BA46">
        <v>1</v>
      </c>
      <c r="BB46">
        <v>2</v>
      </c>
      <c r="BC46">
        <v>6</v>
      </c>
      <c r="BD46" t="s">
        <v>76</v>
      </c>
      <c r="BE46" t="s">
        <v>73</v>
      </c>
      <c r="BF46" t="s">
        <v>75</v>
      </c>
      <c r="BG46" t="s">
        <v>78</v>
      </c>
      <c r="BH46" t="s">
        <v>77</v>
      </c>
      <c r="BI46" t="s">
        <v>74</v>
      </c>
      <c r="BJ46">
        <v>38</v>
      </c>
      <c r="BK46">
        <v>5</v>
      </c>
      <c r="BL46">
        <f>IF(Tabelle1[[#This Row],[Abschluss]]=2,1,0)</f>
        <v>0</v>
      </c>
      <c r="BM46">
        <f>IF(Tabelle1[[#This Row],[Abschluss]]=3,1,0)</f>
        <v>0</v>
      </c>
      <c r="BN46">
        <f>IF(Tabelle1[[#This Row],[Abschluss]]=4,1,0)</f>
        <v>0</v>
      </c>
      <c r="BO46">
        <f>IF(Tabelle1[[#This Row],[Abschluss]]=5,1,0)</f>
        <v>1</v>
      </c>
      <c r="BP46">
        <v>1</v>
      </c>
      <c r="BQ46">
        <f>IF(Tabelle1[[#This Row],[Vorwissen_tech]]=1,1,0)</f>
        <v>1</v>
      </c>
      <c r="BR46">
        <f>IF(Tabelle1[[#This Row],[Vorwissen_tech]]=2,1,0)</f>
        <v>0</v>
      </c>
      <c r="BS46">
        <v>0</v>
      </c>
      <c r="BT46">
        <f>IF(Tabelle1[[#This Row],[Vorwissen_fach]]=1,1,0)</f>
        <v>0</v>
      </c>
      <c r="BU46">
        <f>IF(Tabelle1[[#This Row],[Vorwissen_fach]]=2,1,0)</f>
        <v>0</v>
      </c>
      <c r="BV46">
        <f>IF(Tabelle1[[#This Row],[Vorwissen_tech]]=2,1,0)</f>
        <v>0</v>
      </c>
      <c r="BX46">
        <v>6786.73</v>
      </c>
      <c r="BY46">
        <v>5391.89</v>
      </c>
      <c r="BZ46">
        <v>129.1</v>
      </c>
      <c r="CA46">
        <v>125.49</v>
      </c>
      <c r="CB46">
        <v>128.11000000000001</v>
      </c>
      <c r="CC46">
        <v>84.96</v>
      </c>
      <c r="CD46">
        <v>591.99</v>
      </c>
      <c r="CE46">
        <v>160.44999999999999</v>
      </c>
      <c r="CF46">
        <v>174.74</v>
      </c>
    </row>
    <row r="47" spans="1:84" x14ac:dyDescent="0.2">
      <c r="A47">
        <v>301</v>
      </c>
      <c r="B47" t="s">
        <v>167</v>
      </c>
      <c r="C47">
        <v>8</v>
      </c>
      <c r="D47" t="s">
        <v>71</v>
      </c>
      <c r="E47">
        <v>1292510897</v>
      </c>
      <c r="F47" t="s">
        <v>168</v>
      </c>
      <c r="G47" t="s">
        <v>167</v>
      </c>
      <c r="H47">
        <v>2</v>
      </c>
      <c r="I47">
        <v>2</v>
      </c>
      <c r="J47">
        <v>2</v>
      </c>
      <c r="K47">
        <v>2</v>
      </c>
      <c r="L47">
        <v>3</v>
      </c>
      <c r="M47">
        <v>4</v>
      </c>
      <c r="N47">
        <v>2</v>
      </c>
      <c r="O47">
        <v>2</v>
      </c>
      <c r="P47">
        <v>4</v>
      </c>
      <c r="Q47">
        <v>3</v>
      </c>
      <c r="R47">
        <v>3</v>
      </c>
      <c r="S47">
        <v>3</v>
      </c>
      <c r="T47">
        <v>2</v>
      </c>
      <c r="U47">
        <v>5</v>
      </c>
      <c r="V47">
        <v>2</v>
      </c>
      <c r="W47">
        <v>2</v>
      </c>
      <c r="X47">
        <v>5</v>
      </c>
      <c r="Y47">
        <v>5</v>
      </c>
      <c r="Z47">
        <v>4</v>
      </c>
      <c r="AA47">
        <v>4</v>
      </c>
      <c r="AB47">
        <v>3</v>
      </c>
      <c r="AC47">
        <v>4</v>
      </c>
      <c r="AD47">
        <v>3</v>
      </c>
      <c r="AE47">
        <v>2</v>
      </c>
      <c r="AF47">
        <v>6</v>
      </c>
      <c r="AG47">
        <v>6</v>
      </c>
      <c r="AH47">
        <v>6</v>
      </c>
      <c r="AI47">
        <v>4</v>
      </c>
      <c r="AJ47">
        <v>5</v>
      </c>
      <c r="AK47">
        <v>4</v>
      </c>
      <c r="AL47">
        <v>6</v>
      </c>
      <c r="AM47">
        <v>5</v>
      </c>
      <c r="AN47">
        <v>4</v>
      </c>
      <c r="AO47">
        <v>2</v>
      </c>
      <c r="AP47">
        <v>2</v>
      </c>
      <c r="AQ47">
        <v>3</v>
      </c>
      <c r="AR47">
        <v>2</v>
      </c>
      <c r="AS47">
        <v>4</v>
      </c>
      <c r="AT47">
        <v>2</v>
      </c>
      <c r="AU47">
        <v>2</v>
      </c>
      <c r="AV47">
        <v>3</v>
      </c>
      <c r="AW47">
        <v>6</v>
      </c>
      <c r="AX47">
        <v>5</v>
      </c>
      <c r="AY47">
        <v>4</v>
      </c>
      <c r="AZ47">
        <v>5</v>
      </c>
      <c r="BA47">
        <v>6</v>
      </c>
      <c r="BB47">
        <v>3</v>
      </c>
      <c r="BC47">
        <v>4</v>
      </c>
      <c r="BD47" t="s">
        <v>73</v>
      </c>
      <c r="BE47" t="s">
        <v>74</v>
      </c>
      <c r="BF47" t="s">
        <v>75</v>
      </c>
      <c r="BG47" t="s">
        <v>78</v>
      </c>
      <c r="BH47" t="s">
        <v>77</v>
      </c>
      <c r="BI47" t="s">
        <v>76</v>
      </c>
      <c r="BJ47">
        <v>40</v>
      </c>
      <c r="BK47">
        <v>3</v>
      </c>
      <c r="BL47">
        <f>IF(Tabelle1[[#This Row],[Abschluss]]=2,1,0)</f>
        <v>0</v>
      </c>
      <c r="BM47">
        <f>IF(Tabelle1[[#This Row],[Abschluss]]=3,1,0)</f>
        <v>1</v>
      </c>
      <c r="BN47">
        <f>IF(Tabelle1[[#This Row],[Abschluss]]=4,1,0)</f>
        <v>0</v>
      </c>
      <c r="BO47">
        <f>IF(Tabelle1[[#This Row],[Abschluss]]=5,1,0)</f>
        <v>0</v>
      </c>
      <c r="BP47">
        <v>2</v>
      </c>
      <c r="BQ47">
        <f>IF(Tabelle1[[#This Row],[Vorwissen_tech]]=1,1,0)</f>
        <v>0</v>
      </c>
      <c r="BR47">
        <f>IF(Tabelle1[[#This Row],[Vorwissen_tech]]=2,1,0)</f>
        <v>1</v>
      </c>
      <c r="BS47">
        <v>1</v>
      </c>
      <c r="BT47">
        <f>IF(Tabelle1[[#This Row],[Vorwissen_fach]]=1,1,0)</f>
        <v>1</v>
      </c>
      <c r="BU47">
        <f>IF(Tabelle1[[#This Row],[Vorwissen_fach]]=2,1,0)</f>
        <v>0</v>
      </c>
      <c r="BV47">
        <f>IF(Tabelle1[[#This Row],[Vorwissen_tech]]=2,1,0)</f>
        <v>1</v>
      </c>
      <c r="BX47">
        <v>2547.29</v>
      </c>
      <c r="BY47">
        <v>46.69</v>
      </c>
      <c r="BZ47">
        <v>128.47</v>
      </c>
      <c r="CA47">
        <v>440.34</v>
      </c>
      <c r="CB47">
        <v>70.06</v>
      </c>
      <c r="CC47">
        <v>90.98</v>
      </c>
      <c r="CD47">
        <v>1713.73</v>
      </c>
      <c r="CE47">
        <v>37.200000000000003</v>
      </c>
      <c r="CF47">
        <v>19.82</v>
      </c>
    </row>
    <row r="48" spans="1:84" x14ac:dyDescent="0.2">
      <c r="A48">
        <v>310</v>
      </c>
      <c r="B48" t="s">
        <v>169</v>
      </c>
      <c r="C48">
        <v>8</v>
      </c>
      <c r="D48" t="s">
        <v>71</v>
      </c>
      <c r="E48">
        <v>835041689</v>
      </c>
      <c r="F48" t="s">
        <v>170</v>
      </c>
      <c r="G48" t="s">
        <v>169</v>
      </c>
      <c r="H48">
        <v>6</v>
      </c>
      <c r="I48">
        <v>6</v>
      </c>
      <c r="J48">
        <v>7</v>
      </c>
      <c r="K48">
        <v>7</v>
      </c>
      <c r="L48">
        <v>6</v>
      </c>
      <c r="M48">
        <v>7</v>
      </c>
      <c r="N48">
        <v>7</v>
      </c>
      <c r="O48">
        <v>6</v>
      </c>
      <c r="P48">
        <v>7</v>
      </c>
      <c r="Q48">
        <v>6</v>
      </c>
      <c r="R48">
        <v>6</v>
      </c>
      <c r="S48">
        <v>5</v>
      </c>
      <c r="T48">
        <v>6</v>
      </c>
      <c r="U48">
        <v>6</v>
      </c>
      <c r="V48">
        <v>4</v>
      </c>
      <c r="W48">
        <v>5</v>
      </c>
      <c r="X48">
        <v>7</v>
      </c>
      <c r="Y48">
        <v>7</v>
      </c>
      <c r="Z48">
        <v>6</v>
      </c>
      <c r="AA48">
        <v>7</v>
      </c>
      <c r="AB48">
        <v>6</v>
      </c>
      <c r="AC48">
        <v>7</v>
      </c>
      <c r="AD48">
        <v>7</v>
      </c>
      <c r="AE48">
        <v>7</v>
      </c>
      <c r="AF48">
        <v>7</v>
      </c>
      <c r="AG48">
        <v>6</v>
      </c>
      <c r="AH48">
        <v>6</v>
      </c>
      <c r="AI48">
        <v>7</v>
      </c>
      <c r="AJ48">
        <v>6</v>
      </c>
      <c r="AK48">
        <v>6</v>
      </c>
      <c r="AL48">
        <v>5</v>
      </c>
      <c r="AM48">
        <v>7</v>
      </c>
      <c r="AN48">
        <v>6</v>
      </c>
      <c r="AO48">
        <v>7</v>
      </c>
      <c r="AP48">
        <v>6</v>
      </c>
      <c r="AQ48">
        <v>6</v>
      </c>
      <c r="AR48">
        <v>5</v>
      </c>
      <c r="AS48">
        <v>6</v>
      </c>
      <c r="AT48">
        <v>5</v>
      </c>
      <c r="AU48">
        <v>6</v>
      </c>
      <c r="AV48">
        <v>6</v>
      </c>
      <c r="AW48">
        <v>6</v>
      </c>
      <c r="AX48">
        <v>7</v>
      </c>
      <c r="AY48">
        <v>6</v>
      </c>
      <c r="AZ48">
        <v>5</v>
      </c>
      <c r="BA48">
        <v>6</v>
      </c>
      <c r="BB48">
        <v>5</v>
      </c>
      <c r="BC48">
        <v>7</v>
      </c>
      <c r="BD48" t="s">
        <v>73</v>
      </c>
      <c r="BE48" t="s">
        <v>75</v>
      </c>
      <c r="BF48" t="s">
        <v>77</v>
      </c>
      <c r="BG48" t="s">
        <v>78</v>
      </c>
      <c r="BH48" t="s">
        <v>76</v>
      </c>
      <c r="BI48" t="s">
        <v>74</v>
      </c>
      <c r="BJ48">
        <v>28</v>
      </c>
      <c r="BK48">
        <v>4</v>
      </c>
      <c r="BL48">
        <f>IF(Tabelle1[[#This Row],[Abschluss]]=2,1,0)</f>
        <v>0</v>
      </c>
      <c r="BM48">
        <f>IF(Tabelle1[[#This Row],[Abschluss]]=3,1,0)</f>
        <v>0</v>
      </c>
      <c r="BN48">
        <f>IF(Tabelle1[[#This Row],[Abschluss]]=4,1,0)</f>
        <v>1</v>
      </c>
      <c r="BO48">
        <f>IF(Tabelle1[[#This Row],[Abschluss]]=5,1,0)</f>
        <v>0</v>
      </c>
      <c r="BP48">
        <v>0</v>
      </c>
      <c r="BQ48">
        <f>IF(Tabelle1[[#This Row],[Vorwissen_tech]]=1,1,0)</f>
        <v>0</v>
      </c>
      <c r="BR48">
        <f>IF(Tabelle1[[#This Row],[Vorwissen_tech]]=2,1,0)</f>
        <v>0</v>
      </c>
      <c r="BS48">
        <v>0</v>
      </c>
      <c r="BT48">
        <f>IF(Tabelle1[[#This Row],[Vorwissen_fach]]=1,1,0)</f>
        <v>0</v>
      </c>
      <c r="BU48">
        <f>IF(Tabelle1[[#This Row],[Vorwissen_fach]]=2,1,0)</f>
        <v>0</v>
      </c>
      <c r="BV48">
        <f>IF(Tabelle1[[#This Row],[Vorwissen_tech]]=2,1,0)</f>
        <v>0</v>
      </c>
      <c r="BX48">
        <v>2506.83</v>
      </c>
      <c r="BY48">
        <v>1663.98</v>
      </c>
      <c r="BZ48">
        <v>343.58</v>
      </c>
      <c r="CA48">
        <v>103.1</v>
      </c>
      <c r="CB48">
        <v>44.19</v>
      </c>
      <c r="CC48">
        <v>98.76</v>
      </c>
      <c r="CD48">
        <v>126.21</v>
      </c>
      <c r="CE48">
        <v>91.98</v>
      </c>
      <c r="CF48">
        <v>35.03</v>
      </c>
    </row>
    <row r="49" spans="1:84" x14ac:dyDescent="0.2">
      <c r="A49">
        <v>313</v>
      </c>
      <c r="B49" t="s">
        <v>171</v>
      </c>
      <c r="C49">
        <v>8</v>
      </c>
      <c r="D49" t="s">
        <v>71</v>
      </c>
      <c r="E49">
        <v>1517209160</v>
      </c>
      <c r="F49" t="s">
        <v>172</v>
      </c>
      <c r="G49" t="s">
        <v>171</v>
      </c>
      <c r="H49">
        <v>6</v>
      </c>
      <c r="I49">
        <v>6</v>
      </c>
      <c r="J49">
        <v>2</v>
      </c>
      <c r="K49">
        <v>5</v>
      </c>
      <c r="L49">
        <v>4</v>
      </c>
      <c r="M49">
        <v>2</v>
      </c>
      <c r="N49">
        <v>6</v>
      </c>
      <c r="O49">
        <v>2</v>
      </c>
      <c r="P49">
        <v>6</v>
      </c>
      <c r="Q49">
        <v>6</v>
      </c>
      <c r="R49">
        <v>6</v>
      </c>
      <c r="S49">
        <v>6</v>
      </c>
      <c r="T49">
        <v>2</v>
      </c>
      <c r="U49">
        <v>2</v>
      </c>
      <c r="V49">
        <v>6</v>
      </c>
      <c r="W49">
        <v>2</v>
      </c>
      <c r="X49">
        <v>6</v>
      </c>
      <c r="Y49">
        <v>6</v>
      </c>
      <c r="Z49">
        <v>2</v>
      </c>
      <c r="AA49">
        <v>6</v>
      </c>
      <c r="AB49">
        <v>2</v>
      </c>
      <c r="AC49">
        <v>6</v>
      </c>
      <c r="AD49">
        <v>6</v>
      </c>
      <c r="AE49">
        <v>2</v>
      </c>
      <c r="AF49">
        <v>6</v>
      </c>
      <c r="AG49">
        <v>6</v>
      </c>
      <c r="AH49">
        <v>5</v>
      </c>
      <c r="AI49">
        <v>5</v>
      </c>
      <c r="AJ49">
        <v>3</v>
      </c>
      <c r="AK49">
        <v>2</v>
      </c>
      <c r="AL49">
        <v>2</v>
      </c>
      <c r="AM49">
        <v>2</v>
      </c>
      <c r="AN49">
        <v>6</v>
      </c>
      <c r="AO49">
        <v>6</v>
      </c>
      <c r="AP49">
        <v>5</v>
      </c>
      <c r="AQ49">
        <v>6</v>
      </c>
      <c r="AR49">
        <v>5</v>
      </c>
      <c r="AS49">
        <v>2</v>
      </c>
      <c r="AT49">
        <v>6</v>
      </c>
      <c r="AU49">
        <v>6</v>
      </c>
      <c r="AV49">
        <v>2</v>
      </c>
      <c r="AW49">
        <v>6</v>
      </c>
      <c r="AX49">
        <v>6</v>
      </c>
      <c r="AY49">
        <v>6</v>
      </c>
      <c r="AZ49">
        <v>4</v>
      </c>
      <c r="BA49">
        <v>6</v>
      </c>
      <c r="BB49">
        <v>3</v>
      </c>
      <c r="BC49">
        <v>5</v>
      </c>
      <c r="BD49" t="s">
        <v>75</v>
      </c>
      <c r="BE49" t="s">
        <v>78</v>
      </c>
      <c r="BF49" t="s">
        <v>76</v>
      </c>
      <c r="BG49" t="s">
        <v>77</v>
      </c>
      <c r="BH49" t="s">
        <v>73</v>
      </c>
      <c r="BI49" t="s">
        <v>74</v>
      </c>
      <c r="BJ49">
        <v>48</v>
      </c>
      <c r="BK49">
        <v>2</v>
      </c>
      <c r="BL49">
        <f>IF(Tabelle1[[#This Row],[Abschluss]]=2,1,0)</f>
        <v>1</v>
      </c>
      <c r="BM49">
        <f>IF(Tabelle1[[#This Row],[Abschluss]]=3,1,0)</f>
        <v>0</v>
      </c>
      <c r="BN49">
        <f>IF(Tabelle1[[#This Row],[Abschluss]]=4,1,0)</f>
        <v>0</v>
      </c>
      <c r="BO49">
        <f>IF(Tabelle1[[#This Row],[Abschluss]]=5,1,0)</f>
        <v>0</v>
      </c>
      <c r="BP49">
        <v>2</v>
      </c>
      <c r="BQ49">
        <f>IF(Tabelle1[[#This Row],[Vorwissen_tech]]=1,1,0)</f>
        <v>0</v>
      </c>
      <c r="BR49">
        <f>IF(Tabelle1[[#This Row],[Vorwissen_tech]]=2,1,0)</f>
        <v>1</v>
      </c>
      <c r="BS49">
        <v>0</v>
      </c>
      <c r="BT49">
        <f>IF(Tabelle1[[#This Row],[Vorwissen_fach]]=1,1,0)</f>
        <v>0</v>
      </c>
      <c r="BU49">
        <f>IF(Tabelle1[[#This Row],[Vorwissen_fach]]=2,1,0)</f>
        <v>0</v>
      </c>
      <c r="BV49">
        <f>IF(Tabelle1[[#This Row],[Vorwissen_tech]]=2,1,0)</f>
        <v>1</v>
      </c>
      <c r="BX49">
        <v>937.3</v>
      </c>
      <c r="BY49">
        <v>162</v>
      </c>
      <c r="BZ49">
        <v>151.08000000000001</v>
      </c>
      <c r="CA49">
        <v>100.33</v>
      </c>
      <c r="CB49">
        <v>120.81</v>
      </c>
      <c r="CC49">
        <v>98.47</v>
      </c>
      <c r="CD49">
        <v>145.16</v>
      </c>
      <c r="CE49">
        <v>90.61</v>
      </c>
      <c r="CF49">
        <v>68.84</v>
      </c>
    </row>
    <row r="50" spans="1:84" x14ac:dyDescent="0.2">
      <c r="A50">
        <v>316</v>
      </c>
      <c r="B50" t="s">
        <v>173</v>
      </c>
      <c r="C50">
        <v>8</v>
      </c>
      <c r="D50" t="s">
        <v>71</v>
      </c>
      <c r="E50">
        <v>1603518397</v>
      </c>
      <c r="F50" t="s">
        <v>174</v>
      </c>
      <c r="G50" t="s">
        <v>173</v>
      </c>
      <c r="H50">
        <v>1</v>
      </c>
      <c r="I50">
        <v>2</v>
      </c>
      <c r="J50">
        <v>2</v>
      </c>
      <c r="K50">
        <v>2</v>
      </c>
      <c r="L50">
        <v>1</v>
      </c>
      <c r="M50">
        <v>2</v>
      </c>
      <c r="N50">
        <v>1</v>
      </c>
      <c r="O50">
        <v>1</v>
      </c>
      <c r="P50">
        <v>3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7</v>
      </c>
      <c r="Z50">
        <v>6</v>
      </c>
      <c r="AA50">
        <v>6</v>
      </c>
      <c r="AB50">
        <v>6</v>
      </c>
      <c r="AC50">
        <v>4</v>
      </c>
      <c r="AD50">
        <v>3</v>
      </c>
      <c r="AE50">
        <v>6</v>
      </c>
      <c r="AF50">
        <v>6</v>
      </c>
      <c r="AG50">
        <v>7</v>
      </c>
      <c r="AH50">
        <v>7</v>
      </c>
      <c r="AI50">
        <v>6</v>
      </c>
      <c r="AJ50">
        <v>7</v>
      </c>
      <c r="AK50">
        <v>7</v>
      </c>
      <c r="AL50">
        <v>6</v>
      </c>
      <c r="AM50">
        <v>6</v>
      </c>
      <c r="AN50">
        <v>2</v>
      </c>
      <c r="AO50">
        <v>4</v>
      </c>
      <c r="AP50">
        <v>3</v>
      </c>
      <c r="AQ50">
        <v>2</v>
      </c>
      <c r="AR50">
        <v>2</v>
      </c>
      <c r="AS50">
        <v>2</v>
      </c>
      <c r="AT50">
        <v>1</v>
      </c>
      <c r="AU50">
        <v>2</v>
      </c>
      <c r="AV50">
        <v>4</v>
      </c>
      <c r="AW50">
        <v>7</v>
      </c>
      <c r="AX50">
        <v>7</v>
      </c>
      <c r="AY50">
        <v>6</v>
      </c>
      <c r="AZ50">
        <v>7</v>
      </c>
      <c r="BA50">
        <v>6</v>
      </c>
      <c r="BB50">
        <v>6</v>
      </c>
      <c r="BC50">
        <v>6</v>
      </c>
      <c r="BD50" t="s">
        <v>73</v>
      </c>
      <c r="BE50" t="s">
        <v>74</v>
      </c>
      <c r="BF50" t="s">
        <v>75</v>
      </c>
      <c r="BG50" t="s">
        <v>78</v>
      </c>
      <c r="BH50" t="s">
        <v>77</v>
      </c>
      <c r="BI50" t="s">
        <v>76</v>
      </c>
      <c r="BJ50">
        <v>24</v>
      </c>
      <c r="BK50">
        <v>4</v>
      </c>
      <c r="BL50">
        <f>IF(Tabelle1[[#This Row],[Abschluss]]=2,1,0)</f>
        <v>0</v>
      </c>
      <c r="BM50">
        <f>IF(Tabelle1[[#This Row],[Abschluss]]=3,1,0)</f>
        <v>0</v>
      </c>
      <c r="BN50">
        <f>IF(Tabelle1[[#This Row],[Abschluss]]=4,1,0)</f>
        <v>1</v>
      </c>
      <c r="BO50">
        <f>IF(Tabelle1[[#This Row],[Abschluss]]=5,1,0)</f>
        <v>0</v>
      </c>
      <c r="BP50">
        <v>1</v>
      </c>
      <c r="BQ50">
        <f>IF(Tabelle1[[#This Row],[Vorwissen_tech]]=1,1,0)</f>
        <v>1</v>
      </c>
      <c r="BR50">
        <f>IF(Tabelle1[[#This Row],[Vorwissen_tech]]=2,1,0)</f>
        <v>0</v>
      </c>
      <c r="BS50">
        <v>0</v>
      </c>
      <c r="BT50">
        <f>IF(Tabelle1[[#This Row],[Vorwissen_fach]]=1,1,0)</f>
        <v>0</v>
      </c>
      <c r="BU50">
        <f>IF(Tabelle1[[#This Row],[Vorwissen_fach]]=2,1,0)</f>
        <v>0</v>
      </c>
      <c r="BV50">
        <f>IF(Tabelle1[[#This Row],[Vorwissen_tech]]=2,1,0)</f>
        <v>0</v>
      </c>
      <c r="BX50">
        <v>764.04</v>
      </c>
      <c r="BY50">
        <v>89.7</v>
      </c>
      <c r="BZ50">
        <v>68.63</v>
      </c>
      <c r="CA50">
        <v>162.37</v>
      </c>
      <c r="CB50">
        <v>122.89</v>
      </c>
      <c r="CC50">
        <v>60.78</v>
      </c>
      <c r="CD50">
        <v>145.88999999999999</v>
      </c>
      <c r="CE50">
        <v>91.24</v>
      </c>
      <c r="CF50">
        <v>22.54</v>
      </c>
    </row>
    <row r="51" spans="1:84" x14ac:dyDescent="0.2">
      <c r="A51">
        <v>322</v>
      </c>
      <c r="B51" t="s">
        <v>175</v>
      </c>
      <c r="C51">
        <v>8</v>
      </c>
      <c r="D51" t="s">
        <v>71</v>
      </c>
      <c r="E51">
        <v>965855814</v>
      </c>
      <c r="F51" t="s">
        <v>176</v>
      </c>
      <c r="G51" t="s">
        <v>175</v>
      </c>
      <c r="H51">
        <v>5</v>
      </c>
      <c r="I51">
        <v>6</v>
      </c>
      <c r="J51">
        <v>5</v>
      </c>
      <c r="K51">
        <v>6</v>
      </c>
      <c r="L51">
        <v>7</v>
      </c>
      <c r="M51">
        <v>6</v>
      </c>
      <c r="N51">
        <v>4</v>
      </c>
      <c r="O51">
        <v>5</v>
      </c>
      <c r="P51">
        <v>3</v>
      </c>
      <c r="Q51">
        <v>3</v>
      </c>
      <c r="R51">
        <v>3</v>
      </c>
      <c r="S51">
        <v>4</v>
      </c>
      <c r="T51">
        <v>6</v>
      </c>
      <c r="U51">
        <v>2</v>
      </c>
      <c r="V51">
        <v>3</v>
      </c>
      <c r="W51">
        <v>2</v>
      </c>
      <c r="X51">
        <v>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3</v>
      </c>
      <c r="AE51">
        <v>7</v>
      </c>
      <c r="AF51">
        <v>5</v>
      </c>
      <c r="AG51">
        <v>5</v>
      </c>
      <c r="AH51">
        <v>4</v>
      </c>
      <c r="AI51">
        <v>5</v>
      </c>
      <c r="AJ51">
        <v>6</v>
      </c>
      <c r="AK51">
        <v>4</v>
      </c>
      <c r="AL51">
        <v>3</v>
      </c>
      <c r="AM51">
        <v>3</v>
      </c>
      <c r="AN51">
        <v>6</v>
      </c>
      <c r="AO51">
        <v>6</v>
      </c>
      <c r="AP51">
        <v>6</v>
      </c>
      <c r="AQ51">
        <v>6</v>
      </c>
      <c r="AR51">
        <v>7</v>
      </c>
      <c r="AS51">
        <v>5</v>
      </c>
      <c r="AT51">
        <v>4</v>
      </c>
      <c r="AU51">
        <v>6</v>
      </c>
      <c r="AV51">
        <v>2</v>
      </c>
      <c r="AW51">
        <v>3</v>
      </c>
      <c r="AX51">
        <v>2</v>
      </c>
      <c r="AY51">
        <v>3</v>
      </c>
      <c r="AZ51">
        <v>5</v>
      </c>
      <c r="BA51">
        <v>1</v>
      </c>
      <c r="BB51">
        <v>2</v>
      </c>
      <c r="BC51">
        <v>2</v>
      </c>
      <c r="BD51" t="s">
        <v>75</v>
      </c>
      <c r="BE51" t="s">
        <v>78</v>
      </c>
      <c r="BF51" t="s">
        <v>77</v>
      </c>
      <c r="BG51" t="s">
        <v>73</v>
      </c>
      <c r="BH51" t="s">
        <v>76</v>
      </c>
      <c r="BI51" t="s">
        <v>74</v>
      </c>
      <c r="BJ51">
        <v>39</v>
      </c>
      <c r="BK51">
        <v>2</v>
      </c>
      <c r="BL51">
        <f>IF(Tabelle1[[#This Row],[Abschluss]]=2,1,0)</f>
        <v>1</v>
      </c>
      <c r="BM51">
        <f>IF(Tabelle1[[#This Row],[Abschluss]]=3,1,0)</f>
        <v>0</v>
      </c>
      <c r="BN51">
        <f>IF(Tabelle1[[#This Row],[Abschluss]]=4,1,0)</f>
        <v>0</v>
      </c>
      <c r="BO51">
        <f>IF(Tabelle1[[#This Row],[Abschluss]]=5,1,0)</f>
        <v>0</v>
      </c>
      <c r="BP51">
        <v>1</v>
      </c>
      <c r="BQ51">
        <f>IF(Tabelle1[[#This Row],[Vorwissen_tech]]=1,1,0)</f>
        <v>1</v>
      </c>
      <c r="BR51">
        <f>IF(Tabelle1[[#This Row],[Vorwissen_tech]]=2,1,0)</f>
        <v>0</v>
      </c>
      <c r="BS51">
        <v>1</v>
      </c>
      <c r="BT51">
        <f>IF(Tabelle1[[#This Row],[Vorwissen_fach]]=1,1,0)</f>
        <v>1</v>
      </c>
      <c r="BU51">
        <f>IF(Tabelle1[[#This Row],[Vorwissen_fach]]=2,1,0)</f>
        <v>0</v>
      </c>
      <c r="BV51">
        <f>IF(Tabelle1[[#This Row],[Vorwissen_tech]]=2,1,0)</f>
        <v>0</v>
      </c>
      <c r="BX51">
        <v>1354.62</v>
      </c>
      <c r="BY51">
        <v>171.06</v>
      </c>
      <c r="BZ51">
        <v>142</v>
      </c>
      <c r="CA51">
        <v>158.74</v>
      </c>
      <c r="CB51">
        <v>229.17</v>
      </c>
      <c r="CC51">
        <v>179.97</v>
      </c>
      <c r="CD51">
        <v>270.04000000000002</v>
      </c>
      <c r="CE51">
        <v>145.29</v>
      </c>
      <c r="CF51">
        <v>58.35</v>
      </c>
    </row>
    <row r="52" spans="1:84" x14ac:dyDescent="0.2">
      <c r="A52">
        <v>334</v>
      </c>
      <c r="B52" t="s">
        <v>177</v>
      </c>
      <c r="C52">
        <v>8</v>
      </c>
      <c r="D52" t="s">
        <v>71</v>
      </c>
      <c r="E52">
        <v>1408434735</v>
      </c>
      <c r="F52" t="s">
        <v>178</v>
      </c>
      <c r="G52" t="s">
        <v>177</v>
      </c>
      <c r="H52">
        <v>4</v>
      </c>
      <c r="I52">
        <v>6</v>
      </c>
      <c r="J52">
        <v>6</v>
      </c>
      <c r="K52">
        <v>5</v>
      </c>
      <c r="L52">
        <v>6</v>
      </c>
      <c r="M52">
        <v>5</v>
      </c>
      <c r="N52">
        <v>5</v>
      </c>
      <c r="O52">
        <v>5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6</v>
      </c>
      <c r="Y52">
        <v>7</v>
      </c>
      <c r="Z52">
        <v>4</v>
      </c>
      <c r="AA52">
        <v>6</v>
      </c>
      <c r="AB52">
        <v>6</v>
      </c>
      <c r="AC52">
        <v>4</v>
      </c>
      <c r="AD52">
        <v>5</v>
      </c>
      <c r="AE52">
        <v>2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4</v>
      </c>
      <c r="AL52">
        <v>7</v>
      </c>
      <c r="AM52">
        <v>6</v>
      </c>
      <c r="AN52">
        <v>3</v>
      </c>
      <c r="AO52">
        <v>7</v>
      </c>
      <c r="AP52">
        <v>7</v>
      </c>
      <c r="AQ52">
        <v>5</v>
      </c>
      <c r="AR52">
        <v>6</v>
      </c>
      <c r="AS52">
        <v>4</v>
      </c>
      <c r="AT52">
        <v>5</v>
      </c>
      <c r="AU52">
        <v>1</v>
      </c>
      <c r="AV52">
        <v>6</v>
      </c>
      <c r="AW52">
        <v>2</v>
      </c>
      <c r="AX52">
        <v>5</v>
      </c>
      <c r="AY52">
        <v>4</v>
      </c>
      <c r="AZ52">
        <v>5</v>
      </c>
      <c r="BA52">
        <v>4</v>
      </c>
      <c r="BB52">
        <v>4</v>
      </c>
      <c r="BC52">
        <v>2</v>
      </c>
      <c r="BD52" t="s">
        <v>76</v>
      </c>
      <c r="BE52" t="s">
        <v>75</v>
      </c>
      <c r="BF52" t="s">
        <v>73</v>
      </c>
      <c r="BG52" t="s">
        <v>74</v>
      </c>
      <c r="BH52" t="s">
        <v>77</v>
      </c>
      <c r="BI52" t="s">
        <v>78</v>
      </c>
      <c r="BJ52">
        <v>27</v>
      </c>
      <c r="BK52">
        <v>2</v>
      </c>
      <c r="BL52">
        <f>IF(Tabelle1[[#This Row],[Abschluss]]=2,1,0)</f>
        <v>1</v>
      </c>
      <c r="BM52">
        <f>IF(Tabelle1[[#This Row],[Abschluss]]=3,1,0)</f>
        <v>0</v>
      </c>
      <c r="BN52">
        <f>IF(Tabelle1[[#This Row],[Abschluss]]=4,1,0)</f>
        <v>0</v>
      </c>
      <c r="BO52">
        <f>IF(Tabelle1[[#This Row],[Abschluss]]=5,1,0)</f>
        <v>0</v>
      </c>
      <c r="BP52">
        <v>0</v>
      </c>
      <c r="BQ52">
        <f>IF(Tabelle1[[#This Row],[Vorwissen_tech]]=1,1,0)</f>
        <v>0</v>
      </c>
      <c r="BR52">
        <f>IF(Tabelle1[[#This Row],[Vorwissen_tech]]=2,1,0)</f>
        <v>0</v>
      </c>
      <c r="BS52">
        <v>0</v>
      </c>
      <c r="BT52">
        <f>IF(Tabelle1[[#This Row],[Vorwissen_fach]]=1,1,0)</f>
        <v>0</v>
      </c>
      <c r="BU52">
        <f>IF(Tabelle1[[#This Row],[Vorwissen_fach]]=2,1,0)</f>
        <v>0</v>
      </c>
      <c r="BV52">
        <f>IF(Tabelle1[[#This Row],[Vorwissen_tech]]=2,1,0)</f>
        <v>0</v>
      </c>
      <c r="BX52">
        <v>2400.7399999999998</v>
      </c>
      <c r="BY52">
        <v>50.76</v>
      </c>
      <c r="BZ52">
        <v>64.72</v>
      </c>
      <c r="CA52">
        <v>135.09</v>
      </c>
      <c r="CB52">
        <v>68.819999999999993</v>
      </c>
      <c r="CC52">
        <v>323.36</v>
      </c>
      <c r="CD52">
        <v>1652.88</v>
      </c>
      <c r="CE52">
        <v>86.76</v>
      </c>
      <c r="CF52">
        <v>18.350000000000001</v>
      </c>
    </row>
    <row r="53" spans="1:84" x14ac:dyDescent="0.2">
      <c r="A53">
        <v>337</v>
      </c>
      <c r="B53" t="s">
        <v>179</v>
      </c>
      <c r="C53">
        <v>8</v>
      </c>
      <c r="D53" t="s">
        <v>71</v>
      </c>
      <c r="E53">
        <v>550349645</v>
      </c>
      <c r="F53" t="s">
        <v>180</v>
      </c>
      <c r="G53" t="s">
        <v>179</v>
      </c>
      <c r="H53">
        <v>2</v>
      </c>
      <c r="I53">
        <v>2</v>
      </c>
      <c r="J53">
        <v>4</v>
      </c>
      <c r="K53">
        <v>3</v>
      </c>
      <c r="L53">
        <v>5</v>
      </c>
      <c r="M53">
        <v>1</v>
      </c>
      <c r="N53">
        <v>2</v>
      </c>
      <c r="O53">
        <v>2</v>
      </c>
      <c r="P53">
        <v>2</v>
      </c>
      <c r="Q53">
        <v>5</v>
      </c>
      <c r="R53">
        <v>3</v>
      </c>
      <c r="S53">
        <v>4</v>
      </c>
      <c r="T53">
        <v>5</v>
      </c>
      <c r="U53">
        <v>2</v>
      </c>
      <c r="V53">
        <v>2</v>
      </c>
      <c r="W53">
        <v>2</v>
      </c>
      <c r="X53">
        <v>7</v>
      </c>
      <c r="Y53">
        <v>7</v>
      </c>
      <c r="Z53">
        <v>7</v>
      </c>
      <c r="AA53">
        <v>7</v>
      </c>
      <c r="AB53">
        <v>7</v>
      </c>
      <c r="AC53">
        <v>7</v>
      </c>
      <c r="AD53">
        <v>7</v>
      </c>
      <c r="AE53">
        <v>6</v>
      </c>
      <c r="AF53">
        <v>7</v>
      </c>
      <c r="AG53">
        <v>7</v>
      </c>
      <c r="AH53">
        <v>7</v>
      </c>
      <c r="AI53">
        <v>7</v>
      </c>
      <c r="AJ53">
        <v>7</v>
      </c>
      <c r="AK53">
        <v>4</v>
      </c>
      <c r="AL53">
        <v>7</v>
      </c>
      <c r="AM53">
        <v>7</v>
      </c>
      <c r="AN53">
        <v>5</v>
      </c>
      <c r="AO53">
        <v>6</v>
      </c>
      <c r="AP53">
        <v>6</v>
      </c>
      <c r="AQ53">
        <v>6</v>
      </c>
      <c r="AR53">
        <v>6</v>
      </c>
      <c r="AS53">
        <v>6</v>
      </c>
      <c r="AT53">
        <v>5</v>
      </c>
      <c r="AU53">
        <v>4</v>
      </c>
      <c r="AV53">
        <v>4</v>
      </c>
      <c r="AW53">
        <v>6</v>
      </c>
      <c r="AX53">
        <v>6</v>
      </c>
      <c r="AY53">
        <v>7</v>
      </c>
      <c r="AZ53">
        <v>6</v>
      </c>
      <c r="BA53">
        <v>2</v>
      </c>
      <c r="BB53">
        <v>5</v>
      </c>
      <c r="BC53">
        <v>5</v>
      </c>
      <c r="BD53" t="s">
        <v>73</v>
      </c>
      <c r="BE53" t="s">
        <v>75</v>
      </c>
      <c r="BF53" t="s">
        <v>78</v>
      </c>
      <c r="BG53" t="s">
        <v>74</v>
      </c>
      <c r="BH53" t="s">
        <v>76</v>
      </c>
      <c r="BI53" t="s">
        <v>77</v>
      </c>
      <c r="BJ53">
        <v>28</v>
      </c>
      <c r="BK53">
        <v>4</v>
      </c>
      <c r="BL53">
        <f>IF(Tabelle1[[#This Row],[Abschluss]]=2,1,0)</f>
        <v>0</v>
      </c>
      <c r="BM53">
        <f>IF(Tabelle1[[#This Row],[Abschluss]]=3,1,0)</f>
        <v>0</v>
      </c>
      <c r="BN53">
        <f>IF(Tabelle1[[#This Row],[Abschluss]]=4,1,0)</f>
        <v>1</v>
      </c>
      <c r="BO53">
        <f>IF(Tabelle1[[#This Row],[Abschluss]]=5,1,0)</f>
        <v>0</v>
      </c>
      <c r="BP53">
        <v>0</v>
      </c>
      <c r="BQ53">
        <f>IF(Tabelle1[[#This Row],[Vorwissen_tech]]=1,1,0)</f>
        <v>0</v>
      </c>
      <c r="BR53">
        <f>IF(Tabelle1[[#This Row],[Vorwissen_tech]]=2,1,0)</f>
        <v>0</v>
      </c>
      <c r="BS53">
        <v>1</v>
      </c>
      <c r="BT53">
        <f>IF(Tabelle1[[#This Row],[Vorwissen_fach]]=1,1,0)</f>
        <v>1</v>
      </c>
      <c r="BU53">
        <f>IF(Tabelle1[[#This Row],[Vorwissen_fach]]=2,1,0)</f>
        <v>0</v>
      </c>
      <c r="BV53">
        <f>IF(Tabelle1[[#This Row],[Vorwissen_tech]]=2,1,0)</f>
        <v>0</v>
      </c>
      <c r="BX53">
        <v>1378.78</v>
      </c>
      <c r="BY53">
        <v>210.41</v>
      </c>
      <c r="BZ53">
        <v>221.88</v>
      </c>
      <c r="CA53">
        <v>78.2</v>
      </c>
      <c r="CB53">
        <v>227.05</v>
      </c>
      <c r="CC53">
        <v>214.86</v>
      </c>
      <c r="CD53">
        <v>284.75</v>
      </c>
      <c r="CE53">
        <v>118.25</v>
      </c>
      <c r="CF53">
        <v>23.38</v>
      </c>
    </row>
    <row r="54" spans="1:84" x14ac:dyDescent="0.2">
      <c r="A54">
        <v>340</v>
      </c>
      <c r="B54" t="s">
        <v>181</v>
      </c>
      <c r="C54">
        <v>8</v>
      </c>
      <c r="D54" t="s">
        <v>71</v>
      </c>
      <c r="E54">
        <v>1222923177</v>
      </c>
      <c r="F54" t="s">
        <v>182</v>
      </c>
      <c r="G54" t="s">
        <v>181</v>
      </c>
      <c r="H54">
        <v>3</v>
      </c>
      <c r="I54">
        <v>3</v>
      </c>
      <c r="J54">
        <v>2</v>
      </c>
      <c r="K54">
        <v>2</v>
      </c>
      <c r="L54">
        <v>3</v>
      </c>
      <c r="M54">
        <v>2</v>
      </c>
      <c r="N54">
        <v>1</v>
      </c>
      <c r="O54">
        <v>1</v>
      </c>
      <c r="P54">
        <v>6</v>
      </c>
      <c r="Q54">
        <v>6</v>
      </c>
      <c r="R54">
        <v>5</v>
      </c>
      <c r="S54">
        <v>5</v>
      </c>
      <c r="T54">
        <v>6</v>
      </c>
      <c r="U54">
        <v>6</v>
      </c>
      <c r="V54">
        <v>4</v>
      </c>
      <c r="W54">
        <v>6</v>
      </c>
      <c r="X54">
        <v>6</v>
      </c>
      <c r="Y54">
        <v>7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7</v>
      </c>
      <c r="AF54">
        <v>3</v>
      </c>
      <c r="AG54">
        <v>3</v>
      </c>
      <c r="AH54">
        <v>3</v>
      </c>
      <c r="AI54">
        <v>3</v>
      </c>
      <c r="AJ54">
        <v>4</v>
      </c>
      <c r="AK54">
        <v>3</v>
      </c>
      <c r="AL54">
        <v>2</v>
      </c>
      <c r="AM54">
        <v>4</v>
      </c>
      <c r="AN54">
        <v>4</v>
      </c>
      <c r="AO54">
        <v>4</v>
      </c>
      <c r="AP54">
        <v>3</v>
      </c>
      <c r="AQ54">
        <v>3</v>
      </c>
      <c r="AR54">
        <v>4</v>
      </c>
      <c r="AS54">
        <v>4</v>
      </c>
      <c r="AT54">
        <v>2</v>
      </c>
      <c r="AU54">
        <v>3</v>
      </c>
      <c r="AV54">
        <v>6</v>
      </c>
      <c r="AW54">
        <v>6</v>
      </c>
      <c r="AX54">
        <v>6</v>
      </c>
      <c r="AY54">
        <v>6</v>
      </c>
      <c r="AZ54">
        <v>6</v>
      </c>
      <c r="BA54">
        <v>6</v>
      </c>
      <c r="BB54">
        <v>6</v>
      </c>
      <c r="BC54">
        <v>6</v>
      </c>
      <c r="BD54" t="s">
        <v>74</v>
      </c>
      <c r="BE54" t="s">
        <v>75</v>
      </c>
      <c r="BF54" t="s">
        <v>76</v>
      </c>
      <c r="BG54" t="s">
        <v>73</v>
      </c>
      <c r="BH54" t="s">
        <v>78</v>
      </c>
      <c r="BI54" t="s">
        <v>77</v>
      </c>
      <c r="BJ54">
        <v>24</v>
      </c>
      <c r="BK54">
        <v>3</v>
      </c>
      <c r="BL54">
        <f>IF(Tabelle1[[#This Row],[Abschluss]]=2,1,0)</f>
        <v>0</v>
      </c>
      <c r="BM54">
        <f>IF(Tabelle1[[#This Row],[Abschluss]]=3,1,0)</f>
        <v>1</v>
      </c>
      <c r="BN54">
        <f>IF(Tabelle1[[#This Row],[Abschluss]]=4,1,0)</f>
        <v>0</v>
      </c>
      <c r="BO54">
        <f>IF(Tabelle1[[#This Row],[Abschluss]]=5,1,0)</f>
        <v>0</v>
      </c>
      <c r="BP54">
        <v>1</v>
      </c>
      <c r="BQ54">
        <f>IF(Tabelle1[[#This Row],[Vorwissen_tech]]=1,1,0)</f>
        <v>1</v>
      </c>
      <c r="BR54">
        <f>IF(Tabelle1[[#This Row],[Vorwissen_tech]]=2,1,0)</f>
        <v>0</v>
      </c>
      <c r="BS54">
        <v>1</v>
      </c>
      <c r="BT54">
        <f>IF(Tabelle1[[#This Row],[Vorwissen_fach]]=1,1,0)</f>
        <v>1</v>
      </c>
      <c r="BU54">
        <f>IF(Tabelle1[[#This Row],[Vorwissen_fach]]=2,1,0)</f>
        <v>0</v>
      </c>
      <c r="BV54">
        <f>IF(Tabelle1[[#This Row],[Vorwissen_tech]]=2,1,0)</f>
        <v>0</v>
      </c>
      <c r="BX54">
        <v>949.86</v>
      </c>
      <c r="BY54">
        <v>88.26</v>
      </c>
      <c r="BZ54">
        <v>275.41000000000003</v>
      </c>
      <c r="CA54">
        <v>63.56</v>
      </c>
      <c r="CB54">
        <v>165.13</v>
      </c>
      <c r="CC54">
        <v>70.25</v>
      </c>
      <c r="CD54">
        <v>164.07</v>
      </c>
      <c r="CE54">
        <v>94.14</v>
      </c>
      <c r="CF54">
        <v>29.04</v>
      </c>
    </row>
    <row r="55" spans="1:84" x14ac:dyDescent="0.2">
      <c r="A55">
        <v>346</v>
      </c>
      <c r="B55" t="s">
        <v>183</v>
      </c>
      <c r="C55">
        <v>8</v>
      </c>
      <c r="D55" t="s">
        <v>71</v>
      </c>
      <c r="E55">
        <v>296621747</v>
      </c>
      <c r="F55" t="s">
        <v>184</v>
      </c>
      <c r="G55" t="s">
        <v>183</v>
      </c>
      <c r="H55">
        <v>2</v>
      </c>
      <c r="I55">
        <v>4</v>
      </c>
      <c r="J55">
        <v>3</v>
      </c>
      <c r="K55">
        <v>2</v>
      </c>
      <c r="L55">
        <v>5</v>
      </c>
      <c r="M55">
        <v>2</v>
      </c>
      <c r="N55">
        <v>1</v>
      </c>
      <c r="O55">
        <v>2</v>
      </c>
      <c r="P55">
        <v>4</v>
      </c>
      <c r="Q55">
        <v>3</v>
      </c>
      <c r="R55">
        <v>2</v>
      </c>
      <c r="S55">
        <v>3</v>
      </c>
      <c r="T55">
        <v>5</v>
      </c>
      <c r="U55">
        <v>3</v>
      </c>
      <c r="V55">
        <v>1</v>
      </c>
      <c r="W55">
        <v>3</v>
      </c>
      <c r="X55">
        <v>5</v>
      </c>
      <c r="Y55">
        <v>7</v>
      </c>
      <c r="Z55">
        <v>6</v>
      </c>
      <c r="AA55">
        <v>4</v>
      </c>
      <c r="AB55">
        <v>7</v>
      </c>
      <c r="AC55">
        <v>6</v>
      </c>
      <c r="AD55">
        <v>7</v>
      </c>
      <c r="AE55">
        <v>5</v>
      </c>
      <c r="AF55">
        <v>5</v>
      </c>
      <c r="AG55">
        <v>5</v>
      </c>
      <c r="AH55">
        <v>4</v>
      </c>
      <c r="AI55">
        <v>6</v>
      </c>
      <c r="AJ55">
        <v>6</v>
      </c>
      <c r="AK55">
        <v>4</v>
      </c>
      <c r="AL55">
        <v>2</v>
      </c>
      <c r="AM55">
        <v>4</v>
      </c>
      <c r="AN55">
        <v>2</v>
      </c>
      <c r="AO55">
        <v>2</v>
      </c>
      <c r="AP55">
        <v>2</v>
      </c>
      <c r="AQ55">
        <v>4</v>
      </c>
      <c r="AR55">
        <v>5</v>
      </c>
      <c r="AS55">
        <v>4</v>
      </c>
      <c r="AT55">
        <v>2</v>
      </c>
      <c r="AU55">
        <v>2</v>
      </c>
      <c r="AV55">
        <v>4</v>
      </c>
      <c r="AW55">
        <v>5</v>
      </c>
      <c r="AX55">
        <v>3</v>
      </c>
      <c r="AY55">
        <v>3</v>
      </c>
      <c r="AZ55">
        <v>6</v>
      </c>
      <c r="BA55">
        <v>1</v>
      </c>
      <c r="BB55">
        <v>3</v>
      </c>
      <c r="BC55">
        <v>4</v>
      </c>
      <c r="BD55" t="s">
        <v>75</v>
      </c>
      <c r="BE55" t="s">
        <v>73</v>
      </c>
      <c r="BF55" t="s">
        <v>78</v>
      </c>
      <c r="BG55" t="s">
        <v>74</v>
      </c>
      <c r="BH55" t="s">
        <v>76</v>
      </c>
      <c r="BI55" t="s">
        <v>77</v>
      </c>
      <c r="BJ55">
        <v>26</v>
      </c>
      <c r="BK55">
        <v>4</v>
      </c>
      <c r="BL55">
        <f>IF(Tabelle1[[#This Row],[Abschluss]]=2,1,0)</f>
        <v>0</v>
      </c>
      <c r="BM55">
        <f>IF(Tabelle1[[#This Row],[Abschluss]]=3,1,0)</f>
        <v>0</v>
      </c>
      <c r="BN55">
        <f>IF(Tabelle1[[#This Row],[Abschluss]]=4,1,0)</f>
        <v>1</v>
      </c>
      <c r="BO55">
        <f>IF(Tabelle1[[#This Row],[Abschluss]]=5,1,0)</f>
        <v>0</v>
      </c>
      <c r="BP55">
        <v>2</v>
      </c>
      <c r="BQ55">
        <f>IF(Tabelle1[[#This Row],[Vorwissen_tech]]=1,1,0)</f>
        <v>0</v>
      </c>
      <c r="BR55">
        <f>IF(Tabelle1[[#This Row],[Vorwissen_tech]]=2,1,0)</f>
        <v>1</v>
      </c>
      <c r="BS55">
        <v>0</v>
      </c>
      <c r="BT55">
        <f>IF(Tabelle1[[#This Row],[Vorwissen_fach]]=1,1,0)</f>
        <v>0</v>
      </c>
      <c r="BU55">
        <f>IF(Tabelle1[[#This Row],[Vorwissen_fach]]=2,1,0)</f>
        <v>0</v>
      </c>
      <c r="BV55">
        <f>IF(Tabelle1[[#This Row],[Vorwissen_tech]]=2,1,0)</f>
        <v>1</v>
      </c>
      <c r="BX55">
        <v>602.29999999999995</v>
      </c>
      <c r="BY55">
        <v>122.94</v>
      </c>
      <c r="BZ55">
        <v>70.14</v>
      </c>
      <c r="CA55">
        <v>94.08</v>
      </c>
      <c r="CB55">
        <v>87.52</v>
      </c>
      <c r="CC55">
        <v>60.9</v>
      </c>
      <c r="CD55">
        <v>63.65</v>
      </c>
      <c r="CE55">
        <v>81.05</v>
      </c>
      <c r="CF55">
        <v>22.02</v>
      </c>
    </row>
    <row r="56" spans="1:84" x14ac:dyDescent="0.2">
      <c r="A56">
        <v>349</v>
      </c>
      <c r="B56" t="s">
        <v>185</v>
      </c>
      <c r="C56">
        <v>8</v>
      </c>
      <c r="D56" t="s">
        <v>71</v>
      </c>
      <c r="E56">
        <v>1443532584</v>
      </c>
      <c r="F56" t="s">
        <v>186</v>
      </c>
      <c r="G56" t="s">
        <v>185</v>
      </c>
      <c r="H56">
        <v>3</v>
      </c>
      <c r="I56">
        <v>2</v>
      </c>
      <c r="J56">
        <v>1</v>
      </c>
      <c r="K56">
        <v>2</v>
      </c>
      <c r="L56">
        <v>4</v>
      </c>
      <c r="M56">
        <v>3</v>
      </c>
      <c r="N56">
        <v>4</v>
      </c>
      <c r="O56">
        <v>2</v>
      </c>
      <c r="P56">
        <v>6</v>
      </c>
      <c r="Q56">
        <v>2</v>
      </c>
      <c r="R56">
        <v>2</v>
      </c>
      <c r="S56">
        <v>2</v>
      </c>
      <c r="T56">
        <v>4</v>
      </c>
      <c r="U56">
        <v>2</v>
      </c>
      <c r="V56">
        <v>2</v>
      </c>
      <c r="W56">
        <v>3</v>
      </c>
      <c r="X56">
        <v>5</v>
      </c>
      <c r="Y56">
        <v>7</v>
      </c>
      <c r="Z56">
        <v>2</v>
      </c>
      <c r="AA56">
        <v>7</v>
      </c>
      <c r="AB56">
        <v>4</v>
      </c>
      <c r="AC56">
        <v>6</v>
      </c>
      <c r="AD56">
        <v>6</v>
      </c>
      <c r="AE56">
        <v>2</v>
      </c>
      <c r="AF56">
        <v>7</v>
      </c>
      <c r="AG56">
        <v>7</v>
      </c>
      <c r="AH56">
        <v>6</v>
      </c>
      <c r="AI56">
        <v>7</v>
      </c>
      <c r="AJ56">
        <v>6</v>
      </c>
      <c r="AK56">
        <v>7</v>
      </c>
      <c r="AL56">
        <v>7</v>
      </c>
      <c r="AM56">
        <v>6</v>
      </c>
      <c r="AN56">
        <v>2</v>
      </c>
      <c r="AO56">
        <v>1</v>
      </c>
      <c r="AP56">
        <v>1</v>
      </c>
      <c r="AQ56">
        <v>3</v>
      </c>
      <c r="AR56">
        <v>4</v>
      </c>
      <c r="AS56">
        <v>7</v>
      </c>
      <c r="AT56">
        <v>3</v>
      </c>
      <c r="AU56">
        <v>2</v>
      </c>
      <c r="AV56">
        <v>6</v>
      </c>
      <c r="AW56">
        <v>7</v>
      </c>
      <c r="AX56">
        <v>5</v>
      </c>
      <c r="AY56">
        <v>5</v>
      </c>
      <c r="AZ56">
        <v>4</v>
      </c>
      <c r="BA56">
        <v>1</v>
      </c>
      <c r="BB56">
        <v>4</v>
      </c>
      <c r="BC56">
        <v>7</v>
      </c>
      <c r="BD56" t="s">
        <v>73</v>
      </c>
      <c r="BE56" t="s">
        <v>74</v>
      </c>
      <c r="BF56" t="s">
        <v>78</v>
      </c>
      <c r="BG56" t="s">
        <v>77</v>
      </c>
      <c r="BH56" t="s">
        <v>75</v>
      </c>
      <c r="BI56" t="s">
        <v>76</v>
      </c>
      <c r="BJ56">
        <v>20</v>
      </c>
      <c r="BK56">
        <v>1</v>
      </c>
      <c r="BL56">
        <f>IF(Tabelle1[[#This Row],[Abschluss]]=2,1,0)</f>
        <v>0</v>
      </c>
      <c r="BM56">
        <f>IF(Tabelle1[[#This Row],[Abschluss]]=3,1,0)</f>
        <v>0</v>
      </c>
      <c r="BN56">
        <f>IF(Tabelle1[[#This Row],[Abschluss]]=4,1,0)</f>
        <v>0</v>
      </c>
      <c r="BO56">
        <f>IF(Tabelle1[[#This Row],[Abschluss]]=5,1,0)</f>
        <v>0</v>
      </c>
      <c r="BP56">
        <v>0</v>
      </c>
      <c r="BQ56">
        <f>IF(Tabelle1[[#This Row],[Vorwissen_tech]]=1,1,0)</f>
        <v>0</v>
      </c>
      <c r="BR56">
        <f>IF(Tabelle1[[#This Row],[Vorwissen_tech]]=2,1,0)</f>
        <v>0</v>
      </c>
      <c r="BS56">
        <v>1</v>
      </c>
      <c r="BT56">
        <f>IF(Tabelle1[[#This Row],[Vorwissen_fach]]=1,1,0)</f>
        <v>1</v>
      </c>
      <c r="BU56">
        <f>IF(Tabelle1[[#This Row],[Vorwissen_fach]]=2,1,0)</f>
        <v>0</v>
      </c>
      <c r="BV56">
        <f>IF(Tabelle1[[#This Row],[Vorwissen_tech]]=2,1,0)</f>
        <v>0</v>
      </c>
      <c r="BX56">
        <v>857.27</v>
      </c>
      <c r="BY56">
        <v>140.94</v>
      </c>
      <c r="BZ56">
        <v>139.28</v>
      </c>
      <c r="CA56">
        <v>137.65</v>
      </c>
      <c r="CB56">
        <v>115.34</v>
      </c>
      <c r="CC56">
        <v>48.8</v>
      </c>
      <c r="CD56">
        <v>179.34</v>
      </c>
      <c r="CE56">
        <v>70.45</v>
      </c>
      <c r="CF56">
        <v>25.47</v>
      </c>
    </row>
    <row r="57" spans="1:84" x14ac:dyDescent="0.2">
      <c r="A57">
        <v>355</v>
      </c>
      <c r="B57" t="s">
        <v>187</v>
      </c>
      <c r="C57">
        <v>8</v>
      </c>
      <c r="D57" t="s">
        <v>71</v>
      </c>
      <c r="E57">
        <v>938294077</v>
      </c>
      <c r="F57" t="s">
        <v>188</v>
      </c>
      <c r="G57" t="s">
        <v>187</v>
      </c>
      <c r="H57">
        <v>2</v>
      </c>
      <c r="I57">
        <v>6</v>
      </c>
      <c r="J57">
        <v>7</v>
      </c>
      <c r="K57">
        <v>3</v>
      </c>
      <c r="L57">
        <v>7</v>
      </c>
      <c r="M57">
        <v>6</v>
      </c>
      <c r="N57">
        <v>5</v>
      </c>
      <c r="O57">
        <v>2</v>
      </c>
      <c r="P57">
        <v>2</v>
      </c>
      <c r="Q57">
        <v>6</v>
      </c>
      <c r="R57">
        <v>7</v>
      </c>
      <c r="S57">
        <v>5</v>
      </c>
      <c r="T57">
        <v>7</v>
      </c>
      <c r="U57">
        <v>5</v>
      </c>
      <c r="V57">
        <v>5</v>
      </c>
      <c r="W57">
        <v>1</v>
      </c>
      <c r="X57">
        <v>5</v>
      </c>
      <c r="Y57">
        <v>7</v>
      </c>
      <c r="Z57">
        <v>7</v>
      </c>
      <c r="AA57">
        <v>7</v>
      </c>
      <c r="AB57">
        <v>7</v>
      </c>
      <c r="AC57">
        <v>7</v>
      </c>
      <c r="AD57">
        <v>6</v>
      </c>
      <c r="AE57">
        <v>4</v>
      </c>
      <c r="AF57">
        <v>4</v>
      </c>
      <c r="AG57">
        <v>6</v>
      </c>
      <c r="AH57">
        <v>7</v>
      </c>
      <c r="AI57">
        <v>4</v>
      </c>
      <c r="AJ57">
        <v>7</v>
      </c>
      <c r="AK57">
        <v>5</v>
      </c>
      <c r="AL57">
        <v>4</v>
      </c>
      <c r="AM57">
        <v>2</v>
      </c>
      <c r="AN57">
        <v>1</v>
      </c>
      <c r="AO57">
        <v>3</v>
      </c>
      <c r="AP57">
        <v>7</v>
      </c>
      <c r="AQ57">
        <v>4</v>
      </c>
      <c r="AR57">
        <v>7</v>
      </c>
      <c r="AS57">
        <v>4</v>
      </c>
      <c r="AT57">
        <v>4</v>
      </c>
      <c r="AU57">
        <v>1</v>
      </c>
      <c r="AV57">
        <v>2</v>
      </c>
      <c r="AW57">
        <v>7</v>
      </c>
      <c r="AX57">
        <v>7</v>
      </c>
      <c r="AY57">
        <v>5</v>
      </c>
      <c r="AZ57">
        <v>7</v>
      </c>
      <c r="BA57">
        <v>6</v>
      </c>
      <c r="BB57">
        <v>4</v>
      </c>
      <c r="BC57">
        <v>2</v>
      </c>
      <c r="BD57" t="s">
        <v>75</v>
      </c>
      <c r="BE57" t="s">
        <v>73</v>
      </c>
      <c r="BF57" t="s">
        <v>74</v>
      </c>
      <c r="BG57" t="s">
        <v>77</v>
      </c>
      <c r="BH57" t="s">
        <v>78</v>
      </c>
      <c r="BI57" t="s">
        <v>76</v>
      </c>
      <c r="BJ57">
        <v>23</v>
      </c>
      <c r="BK57">
        <v>1</v>
      </c>
      <c r="BL57">
        <f>IF(Tabelle1[[#This Row],[Abschluss]]=2,1,0)</f>
        <v>0</v>
      </c>
      <c r="BM57">
        <f>IF(Tabelle1[[#This Row],[Abschluss]]=3,1,0)</f>
        <v>0</v>
      </c>
      <c r="BN57">
        <f>IF(Tabelle1[[#This Row],[Abschluss]]=4,1,0)</f>
        <v>0</v>
      </c>
      <c r="BO57">
        <f>IF(Tabelle1[[#This Row],[Abschluss]]=5,1,0)</f>
        <v>0</v>
      </c>
      <c r="BP57">
        <v>2</v>
      </c>
      <c r="BQ57">
        <f>IF(Tabelle1[[#This Row],[Vorwissen_tech]]=1,1,0)</f>
        <v>0</v>
      </c>
      <c r="BR57">
        <f>IF(Tabelle1[[#This Row],[Vorwissen_tech]]=2,1,0)</f>
        <v>1</v>
      </c>
      <c r="BS57">
        <v>0</v>
      </c>
      <c r="BT57">
        <f>IF(Tabelle1[[#This Row],[Vorwissen_fach]]=1,1,0)</f>
        <v>0</v>
      </c>
      <c r="BU57">
        <f>IF(Tabelle1[[#This Row],[Vorwissen_fach]]=2,1,0)</f>
        <v>0</v>
      </c>
      <c r="BV57">
        <f>IF(Tabelle1[[#This Row],[Vorwissen_tech]]=2,1,0)</f>
        <v>1</v>
      </c>
      <c r="BX57">
        <v>11537.2</v>
      </c>
      <c r="BY57">
        <v>56.13</v>
      </c>
      <c r="BZ57">
        <v>64.02</v>
      </c>
      <c r="CA57">
        <v>54.92</v>
      </c>
      <c r="CB57">
        <v>94.72</v>
      </c>
      <c r="CC57">
        <v>90.02</v>
      </c>
      <c r="CD57">
        <v>214.46</v>
      </c>
      <c r="CE57">
        <v>10930.3</v>
      </c>
      <c r="CF57">
        <v>32.590000000000003</v>
      </c>
    </row>
    <row r="58" spans="1:84" x14ac:dyDescent="0.2">
      <c r="A58">
        <v>361</v>
      </c>
      <c r="B58" t="s">
        <v>189</v>
      </c>
      <c r="C58">
        <v>8</v>
      </c>
      <c r="D58" t="s">
        <v>71</v>
      </c>
      <c r="E58">
        <v>1611502025</v>
      </c>
      <c r="F58" t="s">
        <v>190</v>
      </c>
      <c r="G58" t="s">
        <v>189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2</v>
      </c>
      <c r="O58">
        <v>3</v>
      </c>
      <c r="P58">
        <v>7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7</v>
      </c>
      <c r="X58">
        <v>6</v>
      </c>
      <c r="Y58">
        <v>6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5</v>
      </c>
      <c r="AO58">
        <v>7</v>
      </c>
      <c r="AP58">
        <v>7</v>
      </c>
      <c r="AQ58">
        <v>6</v>
      </c>
      <c r="AR58">
        <v>7</v>
      </c>
      <c r="AS58">
        <v>7</v>
      </c>
      <c r="AT58">
        <v>6</v>
      </c>
      <c r="AU58">
        <v>7</v>
      </c>
      <c r="AV58">
        <v>7</v>
      </c>
      <c r="AW58">
        <v>7</v>
      </c>
      <c r="AX58">
        <v>7</v>
      </c>
      <c r="AY58">
        <v>7</v>
      </c>
      <c r="AZ58">
        <v>7</v>
      </c>
      <c r="BA58">
        <v>7</v>
      </c>
      <c r="BB58">
        <v>7</v>
      </c>
      <c r="BC58">
        <v>7</v>
      </c>
      <c r="BD58" t="s">
        <v>73</v>
      </c>
      <c r="BE58" t="s">
        <v>74</v>
      </c>
      <c r="BF58" t="s">
        <v>76</v>
      </c>
      <c r="BG58" t="s">
        <v>75</v>
      </c>
      <c r="BH58" t="s">
        <v>78</v>
      </c>
      <c r="BI58" t="s">
        <v>77</v>
      </c>
      <c r="BJ58">
        <v>45</v>
      </c>
      <c r="BK58">
        <v>4</v>
      </c>
      <c r="BL58">
        <f>IF(Tabelle1[[#This Row],[Abschluss]]=2,1,0)</f>
        <v>0</v>
      </c>
      <c r="BM58">
        <f>IF(Tabelle1[[#This Row],[Abschluss]]=3,1,0)</f>
        <v>0</v>
      </c>
      <c r="BN58">
        <f>IF(Tabelle1[[#This Row],[Abschluss]]=4,1,0)</f>
        <v>1</v>
      </c>
      <c r="BO58">
        <f>IF(Tabelle1[[#This Row],[Abschluss]]=5,1,0)</f>
        <v>0</v>
      </c>
      <c r="BP58">
        <v>1</v>
      </c>
      <c r="BQ58">
        <f>IF(Tabelle1[[#This Row],[Vorwissen_tech]]=1,1,0)</f>
        <v>1</v>
      </c>
      <c r="BR58">
        <f>IF(Tabelle1[[#This Row],[Vorwissen_tech]]=2,1,0)</f>
        <v>0</v>
      </c>
      <c r="BS58">
        <v>1</v>
      </c>
      <c r="BT58">
        <f>IF(Tabelle1[[#This Row],[Vorwissen_fach]]=1,1,0)</f>
        <v>1</v>
      </c>
      <c r="BU58">
        <f>IF(Tabelle1[[#This Row],[Vorwissen_fach]]=2,1,0)</f>
        <v>0</v>
      </c>
      <c r="BV58">
        <f>IF(Tabelle1[[#This Row],[Vorwissen_tech]]=2,1,0)</f>
        <v>0</v>
      </c>
      <c r="BX58">
        <v>780.11</v>
      </c>
      <c r="BY58">
        <v>68.17</v>
      </c>
      <c r="BZ58">
        <v>95.27</v>
      </c>
      <c r="CA58">
        <v>133.24</v>
      </c>
      <c r="CB58">
        <v>67.709999999999994</v>
      </c>
      <c r="CC58">
        <v>98.03</v>
      </c>
      <c r="CD58">
        <v>178.16</v>
      </c>
      <c r="CE58">
        <v>110.68</v>
      </c>
      <c r="CF58">
        <v>28.85</v>
      </c>
    </row>
    <row r="59" spans="1:84" x14ac:dyDescent="0.2">
      <c r="A59">
        <v>364</v>
      </c>
      <c r="B59" t="s">
        <v>191</v>
      </c>
      <c r="C59">
        <v>8</v>
      </c>
      <c r="D59" t="s">
        <v>71</v>
      </c>
      <c r="E59">
        <v>1579026680</v>
      </c>
      <c r="F59" t="s">
        <v>192</v>
      </c>
      <c r="G59" t="s">
        <v>191</v>
      </c>
      <c r="H59">
        <v>2</v>
      </c>
      <c r="I59">
        <v>6</v>
      </c>
      <c r="J59">
        <v>6</v>
      </c>
      <c r="K59">
        <v>4</v>
      </c>
      <c r="L59">
        <v>6</v>
      </c>
      <c r="M59">
        <v>2</v>
      </c>
      <c r="N59">
        <v>2</v>
      </c>
      <c r="O59">
        <v>3</v>
      </c>
      <c r="P59">
        <v>2</v>
      </c>
      <c r="Q59">
        <v>2</v>
      </c>
      <c r="R59">
        <v>6</v>
      </c>
      <c r="S59">
        <v>2</v>
      </c>
      <c r="T59">
        <v>2</v>
      </c>
      <c r="U59">
        <v>3</v>
      </c>
      <c r="V59">
        <v>2</v>
      </c>
      <c r="W59">
        <v>1</v>
      </c>
      <c r="X59">
        <v>2</v>
      </c>
      <c r="Y59">
        <v>5</v>
      </c>
      <c r="Z59">
        <v>3</v>
      </c>
      <c r="AA59">
        <v>5</v>
      </c>
      <c r="AB59">
        <v>6</v>
      </c>
      <c r="AC59">
        <v>6</v>
      </c>
      <c r="AD59">
        <v>3</v>
      </c>
      <c r="AE59">
        <v>4</v>
      </c>
      <c r="AF59">
        <v>6</v>
      </c>
      <c r="AG59">
        <v>2</v>
      </c>
      <c r="AH59">
        <v>1</v>
      </c>
      <c r="AI59">
        <v>1</v>
      </c>
      <c r="AJ59">
        <v>1</v>
      </c>
      <c r="AK59">
        <v>6</v>
      </c>
      <c r="AL59">
        <v>1</v>
      </c>
      <c r="AM59">
        <v>1</v>
      </c>
      <c r="AN59">
        <v>7</v>
      </c>
      <c r="AO59">
        <v>7</v>
      </c>
      <c r="AP59">
        <v>7</v>
      </c>
      <c r="AQ59">
        <v>7</v>
      </c>
      <c r="AR59">
        <v>7</v>
      </c>
      <c r="AS59">
        <v>6</v>
      </c>
      <c r="AT59">
        <v>6</v>
      </c>
      <c r="AU59">
        <v>6</v>
      </c>
      <c r="AV59">
        <v>1</v>
      </c>
      <c r="AW59">
        <v>6</v>
      </c>
      <c r="AX59">
        <v>7</v>
      </c>
      <c r="AY59">
        <v>6</v>
      </c>
      <c r="AZ59">
        <v>6</v>
      </c>
      <c r="BA59">
        <v>6</v>
      </c>
      <c r="BB59">
        <v>4</v>
      </c>
      <c r="BC59">
        <v>6</v>
      </c>
      <c r="BD59" t="s">
        <v>73</v>
      </c>
      <c r="BE59" t="s">
        <v>78</v>
      </c>
      <c r="BF59" t="s">
        <v>75</v>
      </c>
      <c r="BG59" t="s">
        <v>76</v>
      </c>
      <c r="BH59" t="s">
        <v>74</v>
      </c>
      <c r="BI59" t="s">
        <v>77</v>
      </c>
      <c r="BJ59">
        <v>60</v>
      </c>
      <c r="BK59">
        <v>2</v>
      </c>
      <c r="BL59">
        <f>IF(Tabelle1[[#This Row],[Abschluss]]=2,1,0)</f>
        <v>1</v>
      </c>
      <c r="BM59">
        <f>IF(Tabelle1[[#This Row],[Abschluss]]=3,1,0)</f>
        <v>0</v>
      </c>
      <c r="BN59">
        <f>IF(Tabelle1[[#This Row],[Abschluss]]=4,1,0)</f>
        <v>0</v>
      </c>
      <c r="BO59">
        <f>IF(Tabelle1[[#This Row],[Abschluss]]=5,1,0)</f>
        <v>0</v>
      </c>
      <c r="BP59">
        <v>1</v>
      </c>
      <c r="BQ59">
        <f>IF(Tabelle1[[#This Row],[Vorwissen_tech]]=1,1,0)</f>
        <v>1</v>
      </c>
      <c r="BR59">
        <f>IF(Tabelle1[[#This Row],[Vorwissen_tech]]=2,1,0)</f>
        <v>0</v>
      </c>
      <c r="BS59">
        <v>1</v>
      </c>
      <c r="BT59">
        <f>IF(Tabelle1[[#This Row],[Vorwissen_fach]]=1,1,0)</f>
        <v>1</v>
      </c>
      <c r="BU59">
        <f>IF(Tabelle1[[#This Row],[Vorwissen_fach]]=2,1,0)</f>
        <v>0</v>
      </c>
      <c r="BV59">
        <f>IF(Tabelle1[[#This Row],[Vorwissen_tech]]=2,1,0)</f>
        <v>0</v>
      </c>
      <c r="BX59">
        <v>2935.68</v>
      </c>
      <c r="BY59">
        <v>294.37</v>
      </c>
      <c r="BZ59">
        <v>330.03</v>
      </c>
      <c r="CA59">
        <v>383.67</v>
      </c>
      <c r="CB59">
        <v>502.53</v>
      </c>
      <c r="CC59">
        <v>175.3</v>
      </c>
      <c r="CD59">
        <v>1047.8699999999999</v>
      </c>
      <c r="CE59">
        <v>157.74</v>
      </c>
      <c r="CF59">
        <v>44.17</v>
      </c>
    </row>
    <row r="60" spans="1:84" x14ac:dyDescent="0.2">
      <c r="A60">
        <v>367</v>
      </c>
      <c r="B60" t="s">
        <v>193</v>
      </c>
      <c r="C60">
        <v>8</v>
      </c>
      <c r="D60" t="s">
        <v>71</v>
      </c>
      <c r="E60">
        <v>853883611</v>
      </c>
      <c r="F60" t="s">
        <v>194</v>
      </c>
      <c r="G60" t="s">
        <v>193</v>
      </c>
      <c r="H60">
        <v>2</v>
      </c>
      <c r="I60">
        <v>2</v>
      </c>
      <c r="J60">
        <v>3</v>
      </c>
      <c r="K60">
        <v>3</v>
      </c>
      <c r="L60">
        <v>3</v>
      </c>
      <c r="M60">
        <v>1</v>
      </c>
      <c r="N60">
        <v>3</v>
      </c>
      <c r="O60">
        <v>2</v>
      </c>
      <c r="P60">
        <v>2</v>
      </c>
      <c r="Q60">
        <v>3</v>
      </c>
      <c r="R60">
        <v>2</v>
      </c>
      <c r="S60">
        <v>5</v>
      </c>
      <c r="T60">
        <v>3</v>
      </c>
      <c r="U60">
        <v>3</v>
      </c>
      <c r="V60">
        <v>3</v>
      </c>
      <c r="W60">
        <v>5</v>
      </c>
      <c r="X60">
        <v>3</v>
      </c>
      <c r="Y60">
        <v>4</v>
      </c>
      <c r="Z60">
        <v>4</v>
      </c>
      <c r="AA60">
        <v>3</v>
      </c>
      <c r="AB60">
        <v>4</v>
      </c>
      <c r="AC60">
        <v>1</v>
      </c>
      <c r="AD60">
        <v>5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4</v>
      </c>
      <c r="AK60">
        <v>2</v>
      </c>
      <c r="AL60">
        <v>4</v>
      </c>
      <c r="AM60">
        <v>2</v>
      </c>
      <c r="AN60">
        <v>6</v>
      </c>
      <c r="AO60">
        <v>6</v>
      </c>
      <c r="AP60">
        <v>6</v>
      </c>
      <c r="AQ60">
        <v>4</v>
      </c>
      <c r="AR60">
        <v>4</v>
      </c>
      <c r="AS60">
        <v>3</v>
      </c>
      <c r="AT60">
        <v>6</v>
      </c>
      <c r="AU60">
        <v>6</v>
      </c>
      <c r="AV60">
        <v>5</v>
      </c>
      <c r="AW60">
        <v>5</v>
      </c>
      <c r="AX60">
        <v>6</v>
      </c>
      <c r="AY60">
        <v>5</v>
      </c>
      <c r="AZ60">
        <v>4</v>
      </c>
      <c r="BA60">
        <v>3</v>
      </c>
      <c r="BB60">
        <v>7</v>
      </c>
      <c r="BC60">
        <v>6</v>
      </c>
      <c r="BD60" t="s">
        <v>73</v>
      </c>
      <c r="BE60" t="s">
        <v>75</v>
      </c>
      <c r="BF60" t="s">
        <v>77</v>
      </c>
      <c r="BG60" t="s">
        <v>76</v>
      </c>
      <c r="BH60" t="s">
        <v>74</v>
      </c>
      <c r="BI60" t="s">
        <v>78</v>
      </c>
      <c r="BJ60">
        <v>20</v>
      </c>
      <c r="BK60">
        <v>1</v>
      </c>
      <c r="BL60">
        <f>IF(Tabelle1[[#This Row],[Abschluss]]=2,1,0)</f>
        <v>0</v>
      </c>
      <c r="BM60">
        <f>IF(Tabelle1[[#This Row],[Abschluss]]=3,1,0)</f>
        <v>0</v>
      </c>
      <c r="BN60">
        <f>IF(Tabelle1[[#This Row],[Abschluss]]=4,1,0)</f>
        <v>0</v>
      </c>
      <c r="BO60">
        <f>IF(Tabelle1[[#This Row],[Abschluss]]=5,1,0)</f>
        <v>0</v>
      </c>
      <c r="BP60">
        <v>0</v>
      </c>
      <c r="BQ60">
        <f>IF(Tabelle1[[#This Row],[Vorwissen_tech]]=1,1,0)</f>
        <v>0</v>
      </c>
      <c r="BR60">
        <f>IF(Tabelle1[[#This Row],[Vorwissen_tech]]=2,1,0)</f>
        <v>0</v>
      </c>
      <c r="BS60">
        <v>0</v>
      </c>
      <c r="BT60">
        <f>IF(Tabelle1[[#This Row],[Vorwissen_fach]]=1,1,0)</f>
        <v>0</v>
      </c>
      <c r="BU60">
        <f>IF(Tabelle1[[#This Row],[Vorwissen_fach]]=2,1,0)</f>
        <v>0</v>
      </c>
      <c r="BV60">
        <f>IF(Tabelle1[[#This Row],[Vorwissen_tech]]=2,1,0)</f>
        <v>0</v>
      </c>
      <c r="BX60">
        <v>1022.32</v>
      </c>
      <c r="BY60">
        <v>111.42</v>
      </c>
      <c r="BZ60">
        <v>185.18</v>
      </c>
      <c r="CA60">
        <v>248.1</v>
      </c>
      <c r="CB60">
        <v>105.98</v>
      </c>
      <c r="CC60">
        <v>175.09</v>
      </c>
      <c r="CD60">
        <v>89.16</v>
      </c>
      <c r="CE60">
        <v>80.239999999999995</v>
      </c>
      <c r="CF60">
        <v>27.15</v>
      </c>
    </row>
    <row r="61" spans="1:84" x14ac:dyDescent="0.2">
      <c r="A61">
        <v>373</v>
      </c>
      <c r="B61" t="s">
        <v>195</v>
      </c>
      <c r="C61">
        <v>8</v>
      </c>
      <c r="D61" t="s">
        <v>71</v>
      </c>
      <c r="E61">
        <v>808217191</v>
      </c>
      <c r="F61" t="s">
        <v>196</v>
      </c>
      <c r="G61" t="s">
        <v>195</v>
      </c>
      <c r="H61">
        <v>2</v>
      </c>
      <c r="I61">
        <v>1</v>
      </c>
      <c r="J61">
        <v>1</v>
      </c>
      <c r="K61">
        <v>2</v>
      </c>
      <c r="L61">
        <v>2</v>
      </c>
      <c r="M61">
        <v>2</v>
      </c>
      <c r="N61">
        <v>2</v>
      </c>
      <c r="O61">
        <v>1</v>
      </c>
      <c r="P61">
        <v>5</v>
      </c>
      <c r="Q61">
        <v>5</v>
      </c>
      <c r="R61">
        <v>3</v>
      </c>
      <c r="S61">
        <v>5</v>
      </c>
      <c r="T61">
        <v>4</v>
      </c>
      <c r="U61">
        <v>5</v>
      </c>
      <c r="V61">
        <v>4</v>
      </c>
      <c r="W61">
        <v>3</v>
      </c>
      <c r="X61">
        <v>7</v>
      </c>
      <c r="Y61">
        <v>7</v>
      </c>
      <c r="Z61">
        <v>7</v>
      </c>
      <c r="AA61">
        <v>5</v>
      </c>
      <c r="AB61">
        <v>6</v>
      </c>
      <c r="AC61">
        <v>7</v>
      </c>
      <c r="AD61">
        <v>6</v>
      </c>
      <c r="AE61">
        <v>6</v>
      </c>
      <c r="AF61">
        <v>5</v>
      </c>
      <c r="AG61">
        <v>6</v>
      </c>
      <c r="AH61">
        <v>5</v>
      </c>
      <c r="AI61">
        <v>5</v>
      </c>
      <c r="AJ61">
        <v>6</v>
      </c>
      <c r="AK61">
        <v>6</v>
      </c>
      <c r="AL61">
        <v>3</v>
      </c>
      <c r="AM61">
        <v>4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5</v>
      </c>
      <c r="AW61">
        <v>5</v>
      </c>
      <c r="AX61">
        <v>4</v>
      </c>
      <c r="AY61">
        <v>5</v>
      </c>
      <c r="AZ61">
        <v>5</v>
      </c>
      <c r="BA61">
        <v>2</v>
      </c>
      <c r="BB61">
        <v>2</v>
      </c>
      <c r="BC61">
        <v>3</v>
      </c>
      <c r="BD61" t="s">
        <v>75</v>
      </c>
      <c r="BE61" t="s">
        <v>74</v>
      </c>
      <c r="BF61" t="s">
        <v>73</v>
      </c>
      <c r="BG61" t="s">
        <v>76</v>
      </c>
      <c r="BH61" t="s">
        <v>77</v>
      </c>
      <c r="BI61" t="s">
        <v>78</v>
      </c>
      <c r="BJ61">
        <v>43</v>
      </c>
      <c r="BK61">
        <v>4</v>
      </c>
      <c r="BL61">
        <f>IF(Tabelle1[[#This Row],[Abschluss]]=2,1,0)</f>
        <v>0</v>
      </c>
      <c r="BM61">
        <f>IF(Tabelle1[[#This Row],[Abschluss]]=3,1,0)</f>
        <v>0</v>
      </c>
      <c r="BN61">
        <f>IF(Tabelle1[[#This Row],[Abschluss]]=4,1,0)</f>
        <v>1</v>
      </c>
      <c r="BO61">
        <f>IF(Tabelle1[[#This Row],[Abschluss]]=5,1,0)</f>
        <v>0</v>
      </c>
      <c r="BP61">
        <v>0</v>
      </c>
      <c r="BQ61">
        <f>IF(Tabelle1[[#This Row],[Vorwissen_tech]]=1,1,0)</f>
        <v>0</v>
      </c>
      <c r="BR61">
        <f>IF(Tabelle1[[#This Row],[Vorwissen_tech]]=2,1,0)</f>
        <v>0</v>
      </c>
      <c r="BS61">
        <v>0</v>
      </c>
      <c r="BT61">
        <f>IF(Tabelle1[[#This Row],[Vorwissen_fach]]=1,1,0)</f>
        <v>0</v>
      </c>
      <c r="BU61">
        <f>IF(Tabelle1[[#This Row],[Vorwissen_fach]]=2,1,0)</f>
        <v>0</v>
      </c>
      <c r="BV61">
        <f>IF(Tabelle1[[#This Row],[Vorwissen_tech]]=2,1,0)</f>
        <v>0</v>
      </c>
      <c r="BX61">
        <v>968.94</v>
      </c>
      <c r="BY61">
        <v>118.87</v>
      </c>
      <c r="BZ61">
        <v>185.69</v>
      </c>
      <c r="CA61">
        <v>108.48</v>
      </c>
      <c r="CB61">
        <v>136.41</v>
      </c>
      <c r="CC61">
        <v>100.13</v>
      </c>
      <c r="CD61">
        <v>218.83</v>
      </c>
      <c r="CE61">
        <v>80.86</v>
      </c>
      <c r="CF61">
        <v>19.670000000000002</v>
      </c>
    </row>
    <row r="62" spans="1:84" x14ac:dyDescent="0.2">
      <c r="H62" s="2">
        <f>AVERAGE(Tabelle1[CF'[EQ01']])</f>
        <v>3.8166666666666669</v>
      </c>
      <c r="I62" s="2">
        <f>AVERAGE(Tabelle1[CF'[EQ02']])</f>
        <v>4.3166666666666664</v>
      </c>
      <c r="J62" s="2">
        <f>AVERAGE(Tabelle1[CF'[EQ03']])</f>
        <v>4.166666666666667</v>
      </c>
      <c r="K62" s="2">
        <f>AVERAGE(Tabelle1[CF'[EQ04']])</f>
        <v>4</v>
      </c>
      <c r="L62" s="2">
        <f>AVERAGE(Tabelle1[CF'[EQ05']])</f>
        <v>4.4833333333333334</v>
      </c>
      <c r="M62" s="2">
        <f>AVERAGE(Tabelle1[CF'[EQ06']])</f>
        <v>4.0333333333333332</v>
      </c>
      <c r="N62" s="2">
        <f>AVERAGE(Tabelle1[CF'[EQ07']])</f>
        <v>3.4333333333333331</v>
      </c>
      <c r="O62" s="2">
        <f>AVERAGE(Tabelle1[CF'[EQ08']])</f>
        <v>3.3333333333333335</v>
      </c>
      <c r="P62" s="2">
        <f>AVERAGE(Tabelle1[NN'[EQ01']])</f>
        <v>4.0666666666666664</v>
      </c>
      <c r="Q62" s="2">
        <f>AVERAGE(Tabelle1[NN'[EQ02']])</f>
        <v>4.3666666666666663</v>
      </c>
      <c r="R62" s="2">
        <f>AVERAGE(Tabelle1[NN'[EQ03']])</f>
        <v>3.9166666666666665</v>
      </c>
      <c r="S62" s="2">
        <f>AVERAGE(Tabelle1[NN'[EQ04']])</f>
        <v>4.05</v>
      </c>
      <c r="T62" s="2">
        <f>AVERAGE(Tabelle1[NN'[EQ05']])</f>
        <v>4.3499999999999996</v>
      </c>
      <c r="U62" s="2">
        <f>AVERAGE(Tabelle1[NN'[EQ06']])</f>
        <v>4.1166666666666663</v>
      </c>
      <c r="V62" s="2">
        <f>AVERAGE(Tabelle1[NN'[EQ07']])</f>
        <v>3.15</v>
      </c>
      <c r="W62" s="2">
        <f>AVERAGE(Tabelle1[NN'[EQ08']])</f>
        <v>3.3333333333333335</v>
      </c>
      <c r="X62" s="2">
        <f>AVERAGE(Tabelle1[Anchor'[EQ01']])</f>
        <v>5.0999999999999996</v>
      </c>
      <c r="Y62" s="2">
        <f>AVERAGE(Tabelle1[Anchor'[EQ02']])</f>
        <v>5.916666666666667</v>
      </c>
      <c r="Z62" s="2">
        <f>AVERAGE(Tabelle1[Anchor'[EQ03']])</f>
        <v>5.4833333333333334</v>
      </c>
      <c r="AA62" s="2">
        <f>AVERAGE(Tabelle1[Anchor'[EQ04']])</f>
        <v>5.5</v>
      </c>
      <c r="AB62" s="2">
        <f>AVERAGE(Tabelle1[Anchor'[EQ05']])</f>
        <v>5.7</v>
      </c>
      <c r="AC62" s="2">
        <f>AVERAGE(Tabelle1[Anchor'[EQ06']])</f>
        <v>5.85</v>
      </c>
      <c r="AD62" s="2">
        <f>AVERAGE(Tabelle1[Anchor'[EQ07']])</f>
        <v>5.25</v>
      </c>
      <c r="AE62" s="2">
        <f>AVERAGE(Tabelle1[Anchor'[EQ08']])</f>
        <v>5.0333333333333332</v>
      </c>
      <c r="AF62" s="2">
        <f>AVERAGE(Tabelle1[LIME'[EQ01']])</f>
        <v>5.3</v>
      </c>
      <c r="AG62" s="2">
        <f>AVERAGE(Tabelle1[LIME'[EQ02']])</f>
        <v>5.2</v>
      </c>
      <c r="AH62" s="2">
        <f>AVERAGE(Tabelle1[LIME'[EQ03']])</f>
        <v>4.9666666666666668</v>
      </c>
      <c r="AI62" s="2">
        <f>AVERAGE(Tabelle1[LIME'[EQ04']])</f>
        <v>5.1333333333333337</v>
      </c>
      <c r="AJ62" s="2">
        <f>AVERAGE(Tabelle1[LIME'[EQ05']])</f>
        <v>5.25</v>
      </c>
      <c r="AK62" s="2">
        <f>AVERAGE(Tabelle1[LIME'[EQ06']])</f>
        <v>5.083333333333333</v>
      </c>
      <c r="AL62" s="2">
        <f>AVERAGE(Tabelle1[LIME'[EQ07']])</f>
        <v>4.3</v>
      </c>
      <c r="AM62" s="2">
        <f>AVERAGE(Tabelle1[LIME'[EQ08']])</f>
        <v>4.4833333333333334</v>
      </c>
      <c r="AN62" s="2">
        <f>AVERAGE(Tabelle1[SHAP'[EQ01']])</f>
        <v>3.2833333333333332</v>
      </c>
      <c r="AO62" s="2">
        <f>AVERAGE(Tabelle1[SHAP'[EQ02']])</f>
        <v>3.5833333333333335</v>
      </c>
      <c r="AP62" s="2">
        <f>AVERAGE(Tabelle1[SHAP'[EQ03']])</f>
        <v>3.4333333333333331</v>
      </c>
      <c r="AQ62" s="2">
        <f>AVERAGE(Tabelle1[SHAP'[EQ04']])</f>
        <v>3.7666666666666666</v>
      </c>
      <c r="AR62" s="2">
        <f>AVERAGE(Tabelle1[SHAP'[EQ05']])</f>
        <v>3.85</v>
      </c>
      <c r="AS62" s="2">
        <f>AVERAGE(Tabelle1[SHAP'[EQ06']])</f>
        <v>3.8833333333333333</v>
      </c>
      <c r="AT62" s="2">
        <f>AVERAGE(Tabelle1[SHAP'[EQ07']])</f>
        <v>3.1</v>
      </c>
      <c r="AU62" s="2">
        <f>AVERAGE(Tabelle1[SHAP'[EQ08']])</f>
        <v>2.8</v>
      </c>
      <c r="AV62" s="2">
        <f>AVERAGE(Tabelle1[DT'[EQ01']])</f>
        <v>5.2166666666666668</v>
      </c>
      <c r="AW62" s="2">
        <f>AVERAGE(Tabelle1[DT'[EQ02']])</f>
        <v>5.8666666666666663</v>
      </c>
      <c r="AX62" s="2">
        <f>AVERAGE(Tabelle1[DT'[EQ03']])</f>
        <v>5.7333333333333334</v>
      </c>
      <c r="AY62" s="2">
        <f>AVERAGE(Tabelle1[DT'[EQ04']])</f>
        <v>5.65</v>
      </c>
      <c r="AZ62" s="2">
        <f>AVERAGE(Tabelle1[DT'[EQ05']])</f>
        <v>5.833333333333333</v>
      </c>
      <c r="BA62" s="2">
        <f>AVERAGE(Tabelle1[DT'[EQ06']])</f>
        <v>4.9000000000000004</v>
      </c>
      <c r="BB62" s="2">
        <f>AVERAGE(Tabelle1[DT'[EQ07']])</f>
        <v>4.9666666666666668</v>
      </c>
      <c r="BC62" s="2">
        <f>AVERAGE(Tabelle1[DT'[EQ08']])</f>
        <v>5.2833333333333332</v>
      </c>
      <c r="BD62" s="2"/>
      <c r="BE62" s="2"/>
      <c r="BF62" s="2"/>
      <c r="BG62" s="2"/>
      <c r="BH62" s="2"/>
      <c r="BI62" s="2"/>
      <c r="BJ62" s="2">
        <f>SUBTOTAL(101,Tabelle1[Alter])</f>
        <v>34.18333333333333</v>
      </c>
      <c r="BK62" s="2"/>
      <c r="BL62">
        <f>SUBTOTAL(109,Tabelle1[Abschluss1v2])</f>
        <v>4</v>
      </c>
      <c r="BM62">
        <f>SUBTOTAL(109,Tabelle1[Abschluss1v3])</f>
        <v>11</v>
      </c>
      <c r="BN62">
        <f>SUBTOTAL(109,Tabelle1[Abschluss1v4])</f>
        <v>27</v>
      </c>
      <c r="BO62">
        <f>SUBTOTAL(109,Tabelle1[Abschluss1v5])</f>
        <v>5</v>
      </c>
      <c r="BP62">
        <f>SUBTOTAL(109,Tabelle1[Vorwissen_tech])</f>
        <v>37</v>
      </c>
      <c r="BQ62">
        <f>SUBTOTAL(109,Tabelle1[Vorwissen_tech0v1])</f>
        <v>21</v>
      </c>
      <c r="BR62">
        <f>SUBTOTAL(109,Tabelle1[Vorwissen_tech0v2])</f>
        <v>8</v>
      </c>
      <c r="BS62">
        <f>SUBTOTAL(109,Tabelle1[Vorwissen_fach])</f>
        <v>21</v>
      </c>
      <c r="BT62">
        <f>SUBTOTAL(109,Tabelle1[Vorwissen_fach0v1])</f>
        <v>17</v>
      </c>
      <c r="BU62">
        <f>SUBTOTAL(109,Tabelle1[Vorwissen_fach0v2])</f>
        <v>2</v>
      </c>
      <c r="BX62" s="3">
        <f>SUBTOTAL(101,Tabelle1[interviewtime])</f>
        <v>1428.8211666666671</v>
      </c>
      <c r="BY62" s="3">
        <f>SUBTOTAL(107,Tabelle1[CFTime])</f>
        <v>820.8152798016248</v>
      </c>
      <c r="BZ62" s="3">
        <f>SUBTOTAL(107,Tabelle1[NNTime])</f>
        <v>169.79931210756823</v>
      </c>
      <c r="CA62" s="3">
        <f>SUBTOTAL(107,Tabelle1[AnchorTime])</f>
        <v>91.039459446281825</v>
      </c>
      <c r="CB62" s="3">
        <f>SUBTOTAL(107,Tabelle1[LIMETime])</f>
        <v>109.11047538494554</v>
      </c>
      <c r="CC62" s="3">
        <f>SUBTOTAL(107,Tabelle1[SHAPTime])</f>
        <v>120.25739650661008</v>
      </c>
      <c r="CD62" s="3">
        <f>SUBTOTAL(107,Tabelle1[DTTime])</f>
        <v>319.51645476999357</v>
      </c>
      <c r="CE62" s="3">
        <f>SUBTOTAL(107,Tabelle1[RangTime])</f>
        <v>1399.2790716034558</v>
      </c>
      <c r="CF62" s="3">
        <f>SUBTOTAL(107,Tabelle1[KV1Time])</f>
        <v>23.267710209426081</v>
      </c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00D3-755D-49D4-9B63-133E5B08D7A3}">
  <dimension ref="A1:AJ53"/>
  <sheetViews>
    <sheetView topLeftCell="D1" workbookViewId="0">
      <selection activeCell="B19" sqref="B19"/>
    </sheetView>
  </sheetViews>
  <sheetFormatPr baseColWidth="10" defaultRowHeight="12.75" x14ac:dyDescent="0.2"/>
  <cols>
    <col min="1" max="1" width="27.28515625" customWidth="1"/>
    <col min="2" max="2" width="12.140625" customWidth="1"/>
    <col min="3" max="3" width="12.5703125" bestFit="1" customWidth="1"/>
    <col min="4" max="4" width="18.28515625" bestFit="1" customWidth="1"/>
    <col min="24" max="29" width="12.140625" bestFit="1" customWidth="1"/>
    <col min="31" max="33" width="12.140625" bestFit="1" customWidth="1"/>
    <col min="34" max="34" width="11.85546875" bestFit="1" customWidth="1"/>
    <col min="35" max="36" width="12.140625" bestFit="1" customWidth="1"/>
  </cols>
  <sheetData>
    <row r="1" spans="1:36" x14ac:dyDescent="0.2">
      <c r="B1" t="s">
        <v>216</v>
      </c>
      <c r="C1" t="s">
        <v>207</v>
      </c>
      <c r="D1" t="s">
        <v>208</v>
      </c>
      <c r="E1" t="s">
        <v>210</v>
      </c>
      <c r="F1" t="s">
        <v>212</v>
      </c>
      <c r="G1" t="s">
        <v>211</v>
      </c>
      <c r="H1" t="s">
        <v>213</v>
      </c>
      <c r="I1" t="s">
        <v>209</v>
      </c>
      <c r="J1" t="s">
        <v>214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E1" t="s">
        <v>77</v>
      </c>
      <c r="AF1" t="s">
        <v>76</v>
      </c>
      <c r="AG1" t="s">
        <v>75</v>
      </c>
      <c r="AH1" t="s">
        <v>73</v>
      </c>
      <c r="AI1" t="s">
        <v>78</v>
      </c>
      <c r="AJ1" t="s">
        <v>74</v>
      </c>
    </row>
    <row r="2" spans="1:36" x14ac:dyDescent="0.2">
      <c r="A2" t="s">
        <v>201</v>
      </c>
      <c r="B2">
        <v>51</v>
      </c>
      <c r="C2" s="2">
        <v>31.58</v>
      </c>
      <c r="D2" s="2">
        <v>12.54</v>
      </c>
      <c r="E2" s="2">
        <v>8</v>
      </c>
      <c r="F2" s="2">
        <v>10</v>
      </c>
      <c r="G2" s="2">
        <v>32</v>
      </c>
      <c r="H2" s="2">
        <v>42</v>
      </c>
      <c r="I2" s="2">
        <v>55</v>
      </c>
      <c r="J2">
        <f>_xlfn.RANK.EQ(C2,$C$2:$C$7,0)</f>
        <v>4</v>
      </c>
      <c r="L2" s="1">
        <v>7</v>
      </c>
      <c r="M2" s="1">
        <v>7</v>
      </c>
      <c r="N2" s="1">
        <v>7</v>
      </c>
      <c r="O2" s="1">
        <v>7</v>
      </c>
      <c r="P2" s="1">
        <v>7</v>
      </c>
      <c r="Q2" s="1">
        <v>7</v>
      </c>
      <c r="R2" s="1">
        <v>7</v>
      </c>
      <c r="S2" s="1">
        <v>7</v>
      </c>
      <c r="T2">
        <f>SUM(L2:S2)</f>
        <v>56</v>
      </c>
      <c r="U2">
        <f>AVERAGE(T2:T52)</f>
        <v>43.941176470588232</v>
      </c>
      <c r="V2" t="s">
        <v>207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E2">
        <f>MATCH(AE$1,$X2:$AC2,0)</f>
        <v>5</v>
      </c>
      <c r="AF2">
        <f t="shared" ref="AF2:AJ17" si="0">MATCH(AF$1,$X2:$AC2,0)</f>
        <v>4</v>
      </c>
      <c r="AG2">
        <f t="shared" si="0"/>
        <v>3</v>
      </c>
      <c r="AH2">
        <f t="shared" si="0"/>
        <v>1</v>
      </c>
      <c r="AI2">
        <f t="shared" si="0"/>
        <v>6</v>
      </c>
      <c r="AJ2">
        <f t="shared" si="0"/>
        <v>2</v>
      </c>
    </row>
    <row r="3" spans="1:36" x14ac:dyDescent="0.2">
      <c r="A3" t="s">
        <v>202</v>
      </c>
      <c r="B3">
        <v>51</v>
      </c>
      <c r="C3" s="2">
        <v>31.529411764705884</v>
      </c>
      <c r="D3" s="2">
        <v>11.820918646495242</v>
      </c>
      <c r="E3" s="2">
        <v>10</v>
      </c>
      <c r="F3" s="2">
        <v>23</v>
      </c>
      <c r="G3" s="2">
        <v>30</v>
      </c>
      <c r="H3" s="2">
        <v>39</v>
      </c>
      <c r="I3" s="2">
        <v>56</v>
      </c>
      <c r="J3">
        <f t="shared" ref="J3:J7" si="1">_xlfn.RANK.EQ(C3,$C$2:$C$7,0)</f>
        <v>5</v>
      </c>
      <c r="L3" s="1">
        <v>7</v>
      </c>
      <c r="M3" s="1">
        <v>7</v>
      </c>
      <c r="N3" s="1">
        <v>7</v>
      </c>
      <c r="O3" s="1">
        <v>7</v>
      </c>
      <c r="P3" s="1">
        <v>7</v>
      </c>
      <c r="Q3" s="1">
        <v>7</v>
      </c>
      <c r="R3" s="1">
        <v>7</v>
      </c>
      <c r="S3" s="1">
        <v>7</v>
      </c>
      <c r="T3">
        <f t="shared" ref="T3:T52" si="2">SUM(L3:S3)</f>
        <v>56</v>
      </c>
      <c r="U3">
        <f>_xlfn.STDEV.S(T2:T52)</f>
        <v>10.763664366201468</v>
      </c>
      <c r="V3" t="s">
        <v>208</v>
      </c>
      <c r="X3" t="s">
        <v>74</v>
      </c>
      <c r="Y3" t="s">
        <v>75</v>
      </c>
      <c r="Z3" t="s">
        <v>77</v>
      </c>
      <c r="AA3" t="s">
        <v>78</v>
      </c>
      <c r="AB3" t="s">
        <v>73</v>
      </c>
      <c r="AC3" t="s">
        <v>76</v>
      </c>
      <c r="AE3">
        <f t="shared" ref="AE3:AJ34" si="3">MATCH(AE$1,$X3:$AC3,0)</f>
        <v>3</v>
      </c>
      <c r="AF3">
        <f t="shared" si="0"/>
        <v>6</v>
      </c>
      <c r="AG3">
        <f t="shared" si="0"/>
        <v>2</v>
      </c>
      <c r="AH3">
        <f t="shared" si="0"/>
        <v>5</v>
      </c>
      <c r="AI3">
        <f t="shared" si="0"/>
        <v>4</v>
      </c>
      <c r="AJ3">
        <f t="shared" si="0"/>
        <v>1</v>
      </c>
    </row>
    <row r="4" spans="1:36" x14ac:dyDescent="0.2">
      <c r="A4" t="s">
        <v>203</v>
      </c>
      <c r="B4">
        <v>51</v>
      </c>
      <c r="C4" s="2">
        <v>45.333333333333336</v>
      </c>
      <c r="D4" s="2">
        <v>9.6595376010793892</v>
      </c>
      <c r="E4" s="2">
        <v>14</v>
      </c>
      <c r="F4" s="2">
        <v>39</v>
      </c>
      <c r="G4" s="2">
        <v>48</v>
      </c>
      <c r="H4" s="2">
        <v>53</v>
      </c>
      <c r="I4" s="2">
        <v>56</v>
      </c>
      <c r="J4">
        <f t="shared" si="1"/>
        <v>1</v>
      </c>
      <c r="L4" s="1">
        <v>7</v>
      </c>
      <c r="M4" s="1">
        <v>3</v>
      </c>
      <c r="N4" s="1">
        <v>3</v>
      </c>
      <c r="O4" s="1">
        <v>6</v>
      </c>
      <c r="P4" s="1">
        <v>3</v>
      </c>
      <c r="Q4" s="1">
        <v>7</v>
      </c>
      <c r="R4" s="1">
        <v>6</v>
      </c>
      <c r="S4" s="1">
        <v>3</v>
      </c>
      <c r="T4">
        <f t="shared" si="2"/>
        <v>38</v>
      </c>
      <c r="U4">
        <f>MAX(T2:T52)</f>
        <v>56</v>
      </c>
      <c r="V4" t="s">
        <v>209</v>
      </c>
      <c r="X4" t="s">
        <v>73</v>
      </c>
      <c r="Y4" t="s">
        <v>74</v>
      </c>
      <c r="Z4" t="s">
        <v>77</v>
      </c>
      <c r="AA4" t="s">
        <v>76</v>
      </c>
      <c r="AB4" t="s">
        <v>75</v>
      </c>
      <c r="AC4" t="s">
        <v>78</v>
      </c>
      <c r="AE4">
        <f t="shared" si="3"/>
        <v>3</v>
      </c>
      <c r="AF4">
        <f t="shared" si="0"/>
        <v>4</v>
      </c>
      <c r="AG4">
        <f t="shared" si="0"/>
        <v>5</v>
      </c>
      <c r="AH4">
        <f t="shared" si="0"/>
        <v>1</v>
      </c>
      <c r="AI4">
        <f t="shared" si="0"/>
        <v>6</v>
      </c>
      <c r="AJ4">
        <f t="shared" si="0"/>
        <v>2</v>
      </c>
    </row>
    <row r="5" spans="1:36" x14ac:dyDescent="0.2">
      <c r="A5" t="s">
        <v>204</v>
      </c>
      <c r="B5">
        <v>51</v>
      </c>
      <c r="C5" s="2">
        <v>40.333333333333336</v>
      </c>
      <c r="D5" s="2">
        <v>11.507678595905716</v>
      </c>
      <c r="E5" s="2">
        <v>9</v>
      </c>
      <c r="F5" s="2">
        <v>32</v>
      </c>
      <c r="G5" s="2">
        <v>44</v>
      </c>
      <c r="H5" s="2">
        <v>50</v>
      </c>
      <c r="I5" s="2">
        <v>56</v>
      </c>
      <c r="J5">
        <f t="shared" si="1"/>
        <v>3</v>
      </c>
      <c r="L5" s="1">
        <v>1</v>
      </c>
      <c r="M5" s="1">
        <v>4</v>
      </c>
      <c r="N5" s="1">
        <v>1</v>
      </c>
      <c r="O5" s="1">
        <v>5</v>
      </c>
      <c r="P5" s="1">
        <v>5</v>
      </c>
      <c r="Q5" s="1">
        <v>1</v>
      </c>
      <c r="R5" s="1">
        <v>1</v>
      </c>
      <c r="S5" s="1">
        <v>1</v>
      </c>
      <c r="T5">
        <f t="shared" si="2"/>
        <v>19</v>
      </c>
      <c r="U5">
        <f>_xlfn.QUARTILE.EXC(T2:T52,3)</f>
        <v>53</v>
      </c>
      <c r="V5" t="s">
        <v>213</v>
      </c>
      <c r="X5" t="s">
        <v>73</v>
      </c>
      <c r="Y5" t="s">
        <v>74</v>
      </c>
      <c r="Z5" t="s">
        <v>77</v>
      </c>
      <c r="AA5" t="s">
        <v>76</v>
      </c>
      <c r="AB5" t="s">
        <v>75</v>
      </c>
      <c r="AC5" t="s">
        <v>78</v>
      </c>
      <c r="AE5">
        <f t="shared" si="3"/>
        <v>3</v>
      </c>
      <c r="AF5">
        <f t="shared" si="0"/>
        <v>4</v>
      </c>
      <c r="AG5">
        <f t="shared" si="0"/>
        <v>5</v>
      </c>
      <c r="AH5">
        <f t="shared" si="0"/>
        <v>1</v>
      </c>
      <c r="AI5">
        <f t="shared" si="0"/>
        <v>6</v>
      </c>
      <c r="AJ5">
        <f t="shared" si="0"/>
        <v>2</v>
      </c>
    </row>
    <row r="6" spans="1:36" x14ac:dyDescent="0.2">
      <c r="A6" t="s">
        <v>205</v>
      </c>
      <c r="B6">
        <v>51</v>
      </c>
      <c r="C6" s="2">
        <v>28.215686274509803</v>
      </c>
      <c r="D6" s="2">
        <v>12.941891245857686</v>
      </c>
      <c r="E6" s="2">
        <v>8</v>
      </c>
      <c r="F6" s="2">
        <v>18</v>
      </c>
      <c r="G6" s="2">
        <v>27</v>
      </c>
      <c r="H6" s="2">
        <v>38</v>
      </c>
      <c r="I6" s="2">
        <v>55</v>
      </c>
      <c r="J6">
        <f t="shared" si="1"/>
        <v>6</v>
      </c>
      <c r="L6" s="1">
        <v>6</v>
      </c>
      <c r="M6" s="1">
        <v>6</v>
      </c>
      <c r="N6" s="1">
        <v>6</v>
      </c>
      <c r="O6" s="1">
        <v>7</v>
      </c>
      <c r="P6" s="1">
        <v>4</v>
      </c>
      <c r="Q6" s="1">
        <v>4</v>
      </c>
      <c r="R6" s="1">
        <v>6</v>
      </c>
      <c r="S6" s="1">
        <v>5</v>
      </c>
      <c r="T6">
        <f t="shared" si="2"/>
        <v>44</v>
      </c>
      <c r="U6">
        <f>MEDIAN(T2:T52)</f>
        <v>45</v>
      </c>
      <c r="V6" t="s">
        <v>211</v>
      </c>
      <c r="X6" t="s">
        <v>74</v>
      </c>
      <c r="Y6" t="s">
        <v>77</v>
      </c>
      <c r="Z6" t="s">
        <v>75</v>
      </c>
      <c r="AA6" t="s">
        <v>78</v>
      </c>
      <c r="AB6" t="s">
        <v>76</v>
      </c>
      <c r="AC6" t="s">
        <v>73</v>
      </c>
      <c r="AE6">
        <f t="shared" si="3"/>
        <v>2</v>
      </c>
      <c r="AF6">
        <f t="shared" si="0"/>
        <v>5</v>
      </c>
      <c r="AG6">
        <f t="shared" si="0"/>
        <v>3</v>
      </c>
      <c r="AH6">
        <f t="shared" si="0"/>
        <v>6</v>
      </c>
      <c r="AI6">
        <f t="shared" si="0"/>
        <v>4</v>
      </c>
      <c r="AJ6">
        <f t="shared" si="0"/>
        <v>1</v>
      </c>
    </row>
    <row r="7" spans="1:36" x14ac:dyDescent="0.2">
      <c r="A7" t="s">
        <v>206</v>
      </c>
      <c r="B7">
        <v>51</v>
      </c>
      <c r="C7" s="2">
        <v>43.941176470588232</v>
      </c>
      <c r="D7" s="2">
        <v>10.763664366201468</v>
      </c>
      <c r="E7" s="2">
        <v>16</v>
      </c>
      <c r="F7" s="2">
        <v>39</v>
      </c>
      <c r="G7" s="2">
        <v>45</v>
      </c>
      <c r="H7" s="2">
        <v>53</v>
      </c>
      <c r="I7" s="2">
        <v>56</v>
      </c>
      <c r="J7">
        <f t="shared" si="1"/>
        <v>2</v>
      </c>
      <c r="L7" s="1">
        <v>6</v>
      </c>
      <c r="M7" s="1">
        <v>7</v>
      </c>
      <c r="N7" s="1">
        <v>6</v>
      </c>
      <c r="O7" s="1">
        <v>7</v>
      </c>
      <c r="P7" s="1">
        <v>7</v>
      </c>
      <c r="Q7" s="1">
        <v>7</v>
      </c>
      <c r="R7" s="1">
        <v>7</v>
      </c>
      <c r="S7" s="1">
        <v>7</v>
      </c>
      <c r="T7">
        <f t="shared" si="2"/>
        <v>54</v>
      </c>
      <c r="U7">
        <f>_xlfn.QUARTILE.EXC(T2:T52,1)</f>
        <v>39</v>
      </c>
      <c r="V7" t="s">
        <v>212</v>
      </c>
      <c r="X7" t="s">
        <v>74</v>
      </c>
      <c r="Y7" t="s">
        <v>77</v>
      </c>
      <c r="Z7" t="s">
        <v>78</v>
      </c>
      <c r="AA7" t="s">
        <v>76</v>
      </c>
      <c r="AB7" t="s">
        <v>75</v>
      </c>
      <c r="AC7" t="s">
        <v>73</v>
      </c>
      <c r="AE7">
        <f t="shared" si="3"/>
        <v>2</v>
      </c>
      <c r="AF7">
        <f t="shared" si="0"/>
        <v>4</v>
      </c>
      <c r="AG7">
        <f t="shared" si="0"/>
        <v>5</v>
      </c>
      <c r="AH7">
        <f t="shared" si="0"/>
        <v>6</v>
      </c>
      <c r="AI7">
        <f t="shared" si="0"/>
        <v>3</v>
      </c>
      <c r="AJ7">
        <f t="shared" si="0"/>
        <v>1</v>
      </c>
    </row>
    <row r="8" spans="1:36" x14ac:dyDescent="0.2">
      <c r="L8" s="1">
        <v>6</v>
      </c>
      <c r="M8" s="1">
        <v>5</v>
      </c>
      <c r="N8" s="1">
        <v>5</v>
      </c>
      <c r="O8" s="1">
        <v>6</v>
      </c>
      <c r="P8" s="1">
        <v>6</v>
      </c>
      <c r="Q8" s="1">
        <v>5</v>
      </c>
      <c r="R8" s="1">
        <v>6</v>
      </c>
      <c r="S8" s="1">
        <v>5</v>
      </c>
      <c r="T8">
        <f t="shared" si="2"/>
        <v>44</v>
      </c>
      <c r="U8">
        <f>MIN(T2:T52)</f>
        <v>16</v>
      </c>
      <c r="V8" t="s">
        <v>210</v>
      </c>
      <c r="X8" t="s">
        <v>73</v>
      </c>
      <c r="Y8" t="s">
        <v>75</v>
      </c>
      <c r="Z8" t="s">
        <v>74</v>
      </c>
      <c r="AA8" t="s">
        <v>78</v>
      </c>
      <c r="AB8" t="s">
        <v>77</v>
      </c>
      <c r="AC8" t="s">
        <v>76</v>
      </c>
      <c r="AE8">
        <f t="shared" si="3"/>
        <v>5</v>
      </c>
      <c r="AF8">
        <f t="shared" si="0"/>
        <v>6</v>
      </c>
      <c r="AG8">
        <f t="shared" si="0"/>
        <v>2</v>
      </c>
      <c r="AH8">
        <f t="shared" si="0"/>
        <v>1</v>
      </c>
      <c r="AI8">
        <f t="shared" si="0"/>
        <v>4</v>
      </c>
      <c r="AJ8">
        <f t="shared" si="0"/>
        <v>3</v>
      </c>
    </row>
    <row r="9" spans="1:36" x14ac:dyDescent="0.2">
      <c r="B9" t="s">
        <v>216</v>
      </c>
      <c r="C9" t="s">
        <v>215</v>
      </c>
      <c r="D9" t="s">
        <v>214</v>
      </c>
      <c r="L9" s="1">
        <v>3</v>
      </c>
      <c r="M9" s="1">
        <v>6</v>
      </c>
      <c r="N9" s="1">
        <v>6</v>
      </c>
      <c r="O9" s="1">
        <v>7</v>
      </c>
      <c r="P9" s="1">
        <v>7</v>
      </c>
      <c r="Q9" s="1">
        <v>4</v>
      </c>
      <c r="R9" s="1">
        <v>4</v>
      </c>
      <c r="S9" s="1">
        <v>5</v>
      </c>
      <c r="T9">
        <f t="shared" si="2"/>
        <v>42</v>
      </c>
      <c r="X9" t="s">
        <v>73</v>
      </c>
      <c r="Y9" t="s">
        <v>77</v>
      </c>
      <c r="Z9" t="s">
        <v>75</v>
      </c>
      <c r="AA9" t="s">
        <v>74</v>
      </c>
      <c r="AB9" t="s">
        <v>76</v>
      </c>
      <c r="AC9" t="s">
        <v>78</v>
      </c>
      <c r="AE9">
        <f t="shared" si="3"/>
        <v>2</v>
      </c>
      <c r="AF9">
        <f t="shared" si="0"/>
        <v>5</v>
      </c>
      <c r="AG9">
        <f t="shared" si="0"/>
        <v>3</v>
      </c>
      <c r="AH9">
        <f t="shared" si="0"/>
        <v>1</v>
      </c>
      <c r="AI9">
        <f t="shared" si="0"/>
        <v>6</v>
      </c>
      <c r="AJ9">
        <f t="shared" si="0"/>
        <v>4</v>
      </c>
    </row>
    <row r="10" spans="1:36" x14ac:dyDescent="0.2">
      <c r="A10" t="s">
        <v>227</v>
      </c>
      <c r="B10">
        <v>51</v>
      </c>
      <c r="C10" s="2">
        <v>2.607843137254902</v>
      </c>
      <c r="D10">
        <f t="shared" ref="D10:D15" si="4">_xlfn.RANK.EQ(C10,$C$10:$C$15,1)</f>
        <v>1</v>
      </c>
      <c r="L10" s="1">
        <v>6</v>
      </c>
      <c r="M10" s="1">
        <v>6</v>
      </c>
      <c r="N10" s="1">
        <v>4</v>
      </c>
      <c r="O10" s="1">
        <v>6</v>
      </c>
      <c r="P10" s="1">
        <v>5</v>
      </c>
      <c r="Q10" s="1">
        <v>5</v>
      </c>
      <c r="R10" s="1">
        <v>4</v>
      </c>
      <c r="S10" s="1">
        <v>5</v>
      </c>
      <c r="T10">
        <f t="shared" si="2"/>
        <v>41</v>
      </c>
      <c r="X10" t="s">
        <v>73</v>
      </c>
      <c r="Y10" t="s">
        <v>75</v>
      </c>
      <c r="Z10" t="s">
        <v>77</v>
      </c>
      <c r="AA10" t="s">
        <v>74</v>
      </c>
      <c r="AB10" t="s">
        <v>76</v>
      </c>
      <c r="AC10" t="s">
        <v>78</v>
      </c>
      <c r="AE10">
        <f t="shared" si="3"/>
        <v>3</v>
      </c>
      <c r="AF10">
        <f t="shared" si="0"/>
        <v>5</v>
      </c>
      <c r="AG10">
        <f t="shared" si="0"/>
        <v>2</v>
      </c>
      <c r="AH10">
        <f t="shared" si="0"/>
        <v>1</v>
      </c>
      <c r="AI10">
        <f t="shared" si="0"/>
        <v>6</v>
      </c>
      <c r="AJ10">
        <f t="shared" si="0"/>
        <v>4</v>
      </c>
    </row>
    <row r="11" spans="1:36" x14ac:dyDescent="0.2">
      <c r="A11" t="s">
        <v>228</v>
      </c>
      <c r="B11">
        <v>51</v>
      </c>
      <c r="C11" s="2">
        <v>2.6666666666666665</v>
      </c>
      <c r="D11">
        <f t="shared" si="4"/>
        <v>2</v>
      </c>
      <c r="L11" s="1">
        <v>7</v>
      </c>
      <c r="M11" s="1">
        <v>7</v>
      </c>
      <c r="N11" s="1">
        <v>6</v>
      </c>
      <c r="O11" s="1">
        <v>6</v>
      </c>
      <c r="P11" s="1">
        <v>6</v>
      </c>
      <c r="Q11" s="1">
        <v>6</v>
      </c>
      <c r="R11" s="1">
        <v>6</v>
      </c>
      <c r="S11" s="1">
        <v>6</v>
      </c>
      <c r="T11">
        <f t="shared" si="2"/>
        <v>50</v>
      </c>
      <c r="X11" t="s">
        <v>73</v>
      </c>
      <c r="Y11" t="s">
        <v>75</v>
      </c>
      <c r="Z11" t="s">
        <v>74</v>
      </c>
      <c r="AA11" t="s">
        <v>77</v>
      </c>
      <c r="AB11" t="s">
        <v>76</v>
      </c>
      <c r="AC11" t="s">
        <v>78</v>
      </c>
      <c r="AE11">
        <f t="shared" si="3"/>
        <v>4</v>
      </c>
      <c r="AF11">
        <f t="shared" si="0"/>
        <v>5</v>
      </c>
      <c r="AG11">
        <f t="shared" si="0"/>
        <v>2</v>
      </c>
      <c r="AH11">
        <f t="shared" si="0"/>
        <v>1</v>
      </c>
      <c r="AI11">
        <f t="shared" si="0"/>
        <v>6</v>
      </c>
      <c r="AJ11">
        <f t="shared" si="0"/>
        <v>3</v>
      </c>
    </row>
    <row r="12" spans="1:36" x14ac:dyDescent="0.2">
      <c r="A12" t="s">
        <v>229</v>
      </c>
      <c r="B12">
        <v>51</v>
      </c>
      <c r="C12" s="2">
        <v>2.784313725490196</v>
      </c>
      <c r="D12">
        <f t="shared" si="4"/>
        <v>3</v>
      </c>
      <c r="L12" s="1">
        <v>6</v>
      </c>
      <c r="M12" s="1">
        <v>6</v>
      </c>
      <c r="N12" s="1">
        <v>6</v>
      </c>
      <c r="O12" s="1">
        <v>6</v>
      </c>
      <c r="P12" s="1">
        <v>6</v>
      </c>
      <c r="Q12" s="1">
        <v>6</v>
      </c>
      <c r="R12" s="1">
        <v>6</v>
      </c>
      <c r="S12" s="1">
        <v>6</v>
      </c>
      <c r="T12">
        <f t="shared" si="2"/>
        <v>48</v>
      </c>
      <c r="X12" t="s">
        <v>75</v>
      </c>
      <c r="Y12" t="s">
        <v>74</v>
      </c>
      <c r="Z12" t="s">
        <v>78</v>
      </c>
      <c r="AA12" t="s">
        <v>76</v>
      </c>
      <c r="AB12" t="s">
        <v>73</v>
      </c>
      <c r="AC12" t="s">
        <v>77</v>
      </c>
      <c r="AE12">
        <f t="shared" si="3"/>
        <v>6</v>
      </c>
      <c r="AF12">
        <f t="shared" si="0"/>
        <v>4</v>
      </c>
      <c r="AG12">
        <f t="shared" si="0"/>
        <v>1</v>
      </c>
      <c r="AH12">
        <f t="shared" si="0"/>
        <v>5</v>
      </c>
      <c r="AI12">
        <f t="shared" si="0"/>
        <v>3</v>
      </c>
      <c r="AJ12">
        <f t="shared" si="0"/>
        <v>2</v>
      </c>
    </row>
    <row r="13" spans="1:36" x14ac:dyDescent="0.2">
      <c r="A13" t="s">
        <v>230</v>
      </c>
      <c r="B13">
        <v>51</v>
      </c>
      <c r="C13" s="2">
        <v>4.0392156862745097</v>
      </c>
      <c r="D13">
        <f t="shared" si="4"/>
        <v>4</v>
      </c>
      <c r="L13" s="1">
        <v>7</v>
      </c>
      <c r="M13" s="1">
        <v>7</v>
      </c>
      <c r="N13" s="1">
        <v>7</v>
      </c>
      <c r="O13" s="1">
        <v>7</v>
      </c>
      <c r="P13" s="1">
        <v>7</v>
      </c>
      <c r="Q13" s="1">
        <v>7</v>
      </c>
      <c r="R13" s="1">
        <v>7</v>
      </c>
      <c r="S13" s="1">
        <v>7</v>
      </c>
      <c r="T13">
        <f t="shared" si="2"/>
        <v>56</v>
      </c>
      <c r="X13" t="s">
        <v>74</v>
      </c>
      <c r="Y13" t="s">
        <v>75</v>
      </c>
      <c r="Z13" t="s">
        <v>77</v>
      </c>
      <c r="AA13" t="s">
        <v>78</v>
      </c>
      <c r="AB13" t="s">
        <v>76</v>
      </c>
      <c r="AC13" t="s">
        <v>73</v>
      </c>
      <c r="AE13">
        <f t="shared" si="3"/>
        <v>3</v>
      </c>
      <c r="AF13">
        <f t="shared" si="0"/>
        <v>5</v>
      </c>
      <c r="AG13">
        <f t="shared" si="0"/>
        <v>2</v>
      </c>
      <c r="AH13">
        <f t="shared" si="0"/>
        <v>6</v>
      </c>
      <c r="AI13">
        <f t="shared" si="0"/>
        <v>4</v>
      </c>
      <c r="AJ13">
        <f t="shared" si="0"/>
        <v>1</v>
      </c>
    </row>
    <row r="14" spans="1:36" x14ac:dyDescent="0.2">
      <c r="A14" t="s">
        <v>231</v>
      </c>
      <c r="B14">
        <v>51</v>
      </c>
      <c r="C14" s="2">
        <v>4.333333333333333</v>
      </c>
      <c r="D14">
        <f t="shared" si="4"/>
        <v>5</v>
      </c>
      <c r="L14" s="1">
        <v>3</v>
      </c>
      <c r="M14" s="1">
        <v>5</v>
      </c>
      <c r="N14" s="1">
        <v>3</v>
      </c>
      <c r="O14" s="1">
        <v>3</v>
      </c>
      <c r="P14" s="1">
        <v>4</v>
      </c>
      <c r="Q14" s="1">
        <v>2</v>
      </c>
      <c r="R14" s="1">
        <v>2</v>
      </c>
      <c r="S14" s="1">
        <v>5</v>
      </c>
      <c r="T14">
        <f t="shared" si="2"/>
        <v>27</v>
      </c>
      <c r="X14" t="s">
        <v>73</v>
      </c>
      <c r="Y14" t="s">
        <v>78</v>
      </c>
      <c r="Z14" t="s">
        <v>75</v>
      </c>
      <c r="AA14" t="s">
        <v>74</v>
      </c>
      <c r="AB14" t="s">
        <v>76</v>
      </c>
      <c r="AC14" t="s">
        <v>77</v>
      </c>
      <c r="AE14">
        <f t="shared" si="3"/>
        <v>6</v>
      </c>
      <c r="AF14">
        <f t="shared" si="0"/>
        <v>5</v>
      </c>
      <c r="AG14">
        <f t="shared" si="0"/>
        <v>3</v>
      </c>
      <c r="AH14">
        <f t="shared" si="0"/>
        <v>1</v>
      </c>
      <c r="AI14">
        <f t="shared" si="0"/>
        <v>2</v>
      </c>
      <c r="AJ14">
        <f t="shared" si="0"/>
        <v>4</v>
      </c>
    </row>
    <row r="15" spans="1:36" x14ac:dyDescent="0.2">
      <c r="A15" t="s">
        <v>232</v>
      </c>
      <c r="B15">
        <v>51</v>
      </c>
      <c r="C15" s="2">
        <v>4.5686274509803901</v>
      </c>
      <c r="D15">
        <f t="shared" si="4"/>
        <v>6</v>
      </c>
      <c r="L15" s="1">
        <v>7</v>
      </c>
      <c r="M15" s="1">
        <v>7</v>
      </c>
      <c r="N15" s="1">
        <v>7</v>
      </c>
      <c r="O15" s="1">
        <v>6</v>
      </c>
      <c r="P15" s="1">
        <v>7</v>
      </c>
      <c r="Q15" s="1">
        <v>7</v>
      </c>
      <c r="R15" s="1">
        <v>7</v>
      </c>
      <c r="S15" s="1">
        <v>6</v>
      </c>
      <c r="T15">
        <f t="shared" si="2"/>
        <v>54</v>
      </c>
      <c r="X15" t="s">
        <v>74</v>
      </c>
      <c r="Y15" t="s">
        <v>75</v>
      </c>
      <c r="Z15" t="s">
        <v>73</v>
      </c>
      <c r="AA15" t="s">
        <v>77</v>
      </c>
      <c r="AB15" t="s">
        <v>76</v>
      </c>
      <c r="AC15" t="s">
        <v>78</v>
      </c>
      <c r="AE15">
        <f t="shared" si="3"/>
        <v>4</v>
      </c>
      <c r="AF15">
        <f t="shared" si="0"/>
        <v>5</v>
      </c>
      <c r="AG15">
        <f t="shared" si="0"/>
        <v>2</v>
      </c>
      <c r="AH15">
        <f t="shared" si="0"/>
        <v>3</v>
      </c>
      <c r="AI15">
        <f t="shared" si="0"/>
        <v>6</v>
      </c>
      <c r="AJ15">
        <f t="shared" si="0"/>
        <v>1</v>
      </c>
    </row>
    <row r="16" spans="1:36" x14ac:dyDescent="0.2">
      <c r="L16" s="1">
        <v>7</v>
      </c>
      <c r="M16" s="1">
        <v>7</v>
      </c>
      <c r="N16" s="1">
        <v>7</v>
      </c>
      <c r="O16" s="1">
        <v>7</v>
      </c>
      <c r="P16" s="1">
        <v>7</v>
      </c>
      <c r="Q16" s="1">
        <v>7</v>
      </c>
      <c r="R16" s="1">
        <v>7</v>
      </c>
      <c r="S16" s="1">
        <v>7</v>
      </c>
      <c r="T16">
        <f t="shared" si="2"/>
        <v>56</v>
      </c>
      <c r="X16" t="s">
        <v>74</v>
      </c>
      <c r="Y16" t="s">
        <v>73</v>
      </c>
      <c r="Z16" t="s">
        <v>75</v>
      </c>
      <c r="AA16" t="s">
        <v>76</v>
      </c>
      <c r="AB16" t="s">
        <v>77</v>
      </c>
      <c r="AC16" t="s">
        <v>78</v>
      </c>
      <c r="AE16">
        <f t="shared" si="3"/>
        <v>5</v>
      </c>
      <c r="AF16">
        <f t="shared" si="0"/>
        <v>4</v>
      </c>
      <c r="AG16">
        <f t="shared" si="0"/>
        <v>3</v>
      </c>
      <c r="AH16">
        <f t="shared" si="0"/>
        <v>2</v>
      </c>
      <c r="AI16">
        <f t="shared" si="0"/>
        <v>6</v>
      </c>
      <c r="AJ16">
        <f t="shared" si="0"/>
        <v>1</v>
      </c>
    </row>
    <row r="17" spans="12:36" x14ac:dyDescent="0.2">
      <c r="L17" s="1">
        <v>6</v>
      </c>
      <c r="M17" s="1">
        <v>6</v>
      </c>
      <c r="N17" s="1">
        <v>5</v>
      </c>
      <c r="O17" s="1">
        <v>6</v>
      </c>
      <c r="P17" s="1">
        <v>6</v>
      </c>
      <c r="Q17" s="1">
        <v>5</v>
      </c>
      <c r="R17" s="1">
        <v>5</v>
      </c>
      <c r="S17" s="1">
        <v>6</v>
      </c>
      <c r="T17">
        <f t="shared" si="2"/>
        <v>45</v>
      </c>
      <c r="X17" t="s">
        <v>74</v>
      </c>
      <c r="Y17" t="s">
        <v>75</v>
      </c>
      <c r="Z17" t="s">
        <v>77</v>
      </c>
      <c r="AA17" t="s">
        <v>78</v>
      </c>
      <c r="AB17" t="s">
        <v>73</v>
      </c>
      <c r="AC17" t="s">
        <v>76</v>
      </c>
      <c r="AE17">
        <f t="shared" si="3"/>
        <v>3</v>
      </c>
      <c r="AF17">
        <f t="shared" si="0"/>
        <v>6</v>
      </c>
      <c r="AG17">
        <f t="shared" si="0"/>
        <v>2</v>
      </c>
      <c r="AH17">
        <f t="shared" si="0"/>
        <v>5</v>
      </c>
      <c r="AI17">
        <f t="shared" si="0"/>
        <v>4</v>
      </c>
      <c r="AJ17">
        <f t="shared" si="0"/>
        <v>1</v>
      </c>
    </row>
    <row r="18" spans="12:36" x14ac:dyDescent="0.2">
      <c r="L18" s="1">
        <v>6</v>
      </c>
      <c r="M18" s="1">
        <v>7</v>
      </c>
      <c r="N18" s="1">
        <v>5</v>
      </c>
      <c r="O18" s="1">
        <v>5</v>
      </c>
      <c r="P18" s="1">
        <v>6</v>
      </c>
      <c r="Q18" s="1">
        <v>5</v>
      </c>
      <c r="R18" s="1">
        <v>6</v>
      </c>
      <c r="S18" s="1">
        <v>5</v>
      </c>
      <c r="T18">
        <f t="shared" si="2"/>
        <v>45</v>
      </c>
      <c r="X18" t="s">
        <v>73</v>
      </c>
      <c r="Y18" t="s">
        <v>74</v>
      </c>
      <c r="Z18" t="s">
        <v>75</v>
      </c>
      <c r="AA18" t="s">
        <v>77</v>
      </c>
      <c r="AB18" t="s">
        <v>76</v>
      </c>
      <c r="AC18" t="s">
        <v>78</v>
      </c>
      <c r="AE18">
        <f t="shared" si="3"/>
        <v>4</v>
      </c>
      <c r="AF18">
        <f t="shared" si="3"/>
        <v>5</v>
      </c>
      <c r="AG18">
        <f t="shared" si="3"/>
        <v>3</v>
      </c>
      <c r="AH18">
        <f t="shared" si="3"/>
        <v>1</v>
      </c>
      <c r="AI18">
        <f t="shared" si="3"/>
        <v>6</v>
      </c>
      <c r="AJ18">
        <f t="shared" si="3"/>
        <v>2</v>
      </c>
    </row>
    <row r="19" spans="12:36" x14ac:dyDescent="0.2">
      <c r="L19" s="1">
        <v>4</v>
      </c>
      <c r="M19" s="1">
        <v>7</v>
      </c>
      <c r="N19" s="1">
        <v>4</v>
      </c>
      <c r="O19" s="1">
        <v>7</v>
      </c>
      <c r="P19" s="1">
        <v>7</v>
      </c>
      <c r="Q19" s="1">
        <v>2</v>
      </c>
      <c r="R19" s="1">
        <v>6</v>
      </c>
      <c r="S19" s="1">
        <v>4</v>
      </c>
      <c r="T19">
        <f t="shared" si="2"/>
        <v>41</v>
      </c>
      <c r="X19" t="s">
        <v>75</v>
      </c>
      <c r="Y19" t="s">
        <v>73</v>
      </c>
      <c r="Z19" t="s">
        <v>74</v>
      </c>
      <c r="AA19" t="s">
        <v>77</v>
      </c>
      <c r="AB19" t="s">
        <v>78</v>
      </c>
      <c r="AC19" t="s">
        <v>76</v>
      </c>
      <c r="AE19">
        <f t="shared" si="3"/>
        <v>4</v>
      </c>
      <c r="AF19">
        <f t="shared" si="3"/>
        <v>6</v>
      </c>
      <c r="AG19">
        <f t="shared" si="3"/>
        <v>1</v>
      </c>
      <c r="AH19">
        <f t="shared" si="3"/>
        <v>2</v>
      </c>
      <c r="AI19">
        <f t="shared" si="3"/>
        <v>5</v>
      </c>
      <c r="AJ19">
        <f t="shared" si="3"/>
        <v>3</v>
      </c>
    </row>
    <row r="20" spans="12:36" x14ac:dyDescent="0.2">
      <c r="L20" s="1">
        <v>7</v>
      </c>
      <c r="M20" s="1">
        <v>7</v>
      </c>
      <c r="N20" s="1">
        <v>7</v>
      </c>
      <c r="O20" s="1">
        <v>7</v>
      </c>
      <c r="P20" s="1">
        <v>7</v>
      </c>
      <c r="Q20" s="1">
        <v>6</v>
      </c>
      <c r="R20" s="1">
        <v>3</v>
      </c>
      <c r="S20" s="1">
        <v>6</v>
      </c>
      <c r="T20">
        <f t="shared" si="2"/>
        <v>50</v>
      </c>
      <c r="X20" t="s">
        <v>74</v>
      </c>
      <c r="Y20" t="s">
        <v>75</v>
      </c>
      <c r="Z20" t="s">
        <v>76</v>
      </c>
      <c r="AA20" t="s">
        <v>77</v>
      </c>
      <c r="AB20" t="s">
        <v>73</v>
      </c>
      <c r="AC20" t="s">
        <v>78</v>
      </c>
      <c r="AE20">
        <f t="shared" si="3"/>
        <v>4</v>
      </c>
      <c r="AF20">
        <f t="shared" si="3"/>
        <v>3</v>
      </c>
      <c r="AG20">
        <f t="shared" si="3"/>
        <v>2</v>
      </c>
      <c r="AH20">
        <f t="shared" si="3"/>
        <v>5</v>
      </c>
      <c r="AI20">
        <f t="shared" si="3"/>
        <v>6</v>
      </c>
      <c r="AJ20">
        <f t="shared" si="3"/>
        <v>1</v>
      </c>
    </row>
    <row r="21" spans="12:36" x14ac:dyDescent="0.2">
      <c r="L21" s="1">
        <v>6</v>
      </c>
      <c r="M21" s="1">
        <v>6</v>
      </c>
      <c r="N21" s="1">
        <v>6</v>
      </c>
      <c r="O21" s="1">
        <v>5</v>
      </c>
      <c r="P21" s="1">
        <v>6</v>
      </c>
      <c r="Q21" s="1">
        <v>1</v>
      </c>
      <c r="R21" s="1">
        <v>4</v>
      </c>
      <c r="S21" s="1">
        <v>1</v>
      </c>
      <c r="T21">
        <f t="shared" si="2"/>
        <v>35</v>
      </c>
      <c r="X21" t="s">
        <v>75</v>
      </c>
      <c r="Y21" t="s">
        <v>74</v>
      </c>
      <c r="Z21" t="s">
        <v>78</v>
      </c>
      <c r="AA21" t="s">
        <v>77</v>
      </c>
      <c r="AB21" t="s">
        <v>73</v>
      </c>
      <c r="AC21" t="s">
        <v>76</v>
      </c>
      <c r="AE21">
        <f t="shared" si="3"/>
        <v>4</v>
      </c>
      <c r="AF21">
        <f t="shared" si="3"/>
        <v>6</v>
      </c>
      <c r="AG21">
        <f t="shared" si="3"/>
        <v>1</v>
      </c>
      <c r="AH21">
        <f t="shared" si="3"/>
        <v>5</v>
      </c>
      <c r="AI21">
        <f t="shared" si="3"/>
        <v>3</v>
      </c>
      <c r="AJ21">
        <f t="shared" si="3"/>
        <v>2</v>
      </c>
    </row>
    <row r="22" spans="12:36" x14ac:dyDescent="0.2">
      <c r="L22" s="1">
        <v>6</v>
      </c>
      <c r="M22" s="1">
        <v>7</v>
      </c>
      <c r="N22" s="1">
        <v>7</v>
      </c>
      <c r="O22" s="1">
        <v>7</v>
      </c>
      <c r="P22" s="1">
        <v>7</v>
      </c>
      <c r="Q22" s="1">
        <v>7</v>
      </c>
      <c r="R22" s="1">
        <v>6</v>
      </c>
      <c r="S22" s="1">
        <v>7</v>
      </c>
      <c r="T22">
        <f t="shared" si="2"/>
        <v>54</v>
      </c>
      <c r="X22" t="s">
        <v>75</v>
      </c>
      <c r="Y22" t="s">
        <v>74</v>
      </c>
      <c r="Z22" t="s">
        <v>77</v>
      </c>
      <c r="AA22" t="s">
        <v>78</v>
      </c>
      <c r="AB22" t="s">
        <v>76</v>
      </c>
      <c r="AC22" t="s">
        <v>73</v>
      </c>
      <c r="AE22">
        <f t="shared" si="3"/>
        <v>3</v>
      </c>
      <c r="AF22">
        <f t="shared" si="3"/>
        <v>5</v>
      </c>
      <c r="AG22">
        <f t="shared" si="3"/>
        <v>1</v>
      </c>
      <c r="AH22">
        <f t="shared" si="3"/>
        <v>6</v>
      </c>
      <c r="AI22">
        <f t="shared" si="3"/>
        <v>4</v>
      </c>
      <c r="AJ22">
        <f t="shared" si="3"/>
        <v>2</v>
      </c>
    </row>
    <row r="23" spans="12:36" x14ac:dyDescent="0.2">
      <c r="L23" s="1">
        <v>4</v>
      </c>
      <c r="M23" s="1">
        <v>7</v>
      </c>
      <c r="N23" s="1">
        <v>7</v>
      </c>
      <c r="O23" s="1">
        <v>6</v>
      </c>
      <c r="P23" s="1">
        <v>7</v>
      </c>
      <c r="Q23" s="1">
        <v>6</v>
      </c>
      <c r="R23" s="1">
        <v>7</v>
      </c>
      <c r="S23" s="1">
        <v>7</v>
      </c>
      <c r="T23">
        <f t="shared" si="2"/>
        <v>51</v>
      </c>
      <c r="X23" t="s">
        <v>74</v>
      </c>
      <c r="Y23" t="s">
        <v>75</v>
      </c>
      <c r="Z23" t="s">
        <v>77</v>
      </c>
      <c r="AA23" t="s">
        <v>73</v>
      </c>
      <c r="AB23" t="s">
        <v>76</v>
      </c>
      <c r="AC23" t="s">
        <v>78</v>
      </c>
      <c r="AE23">
        <f t="shared" si="3"/>
        <v>3</v>
      </c>
      <c r="AF23">
        <f t="shared" si="3"/>
        <v>5</v>
      </c>
      <c r="AG23">
        <f t="shared" si="3"/>
        <v>2</v>
      </c>
      <c r="AH23">
        <f t="shared" si="3"/>
        <v>4</v>
      </c>
      <c r="AI23">
        <f t="shared" si="3"/>
        <v>6</v>
      </c>
      <c r="AJ23">
        <f t="shared" si="3"/>
        <v>1</v>
      </c>
    </row>
    <row r="24" spans="12:36" x14ac:dyDescent="0.2">
      <c r="L24" s="1">
        <v>5</v>
      </c>
      <c r="M24" s="1">
        <v>4</v>
      </c>
      <c r="N24" s="1">
        <v>6</v>
      </c>
      <c r="O24" s="1">
        <v>5</v>
      </c>
      <c r="P24" s="1">
        <v>5</v>
      </c>
      <c r="Q24" s="1">
        <v>3</v>
      </c>
      <c r="R24" s="1">
        <v>3</v>
      </c>
      <c r="S24" s="1">
        <v>3</v>
      </c>
      <c r="T24">
        <f t="shared" si="2"/>
        <v>34</v>
      </c>
      <c r="X24" t="s">
        <v>78</v>
      </c>
      <c r="Y24" t="s">
        <v>73</v>
      </c>
      <c r="Z24" t="s">
        <v>74</v>
      </c>
      <c r="AA24" t="s">
        <v>76</v>
      </c>
      <c r="AB24" t="s">
        <v>77</v>
      </c>
      <c r="AC24" t="s">
        <v>75</v>
      </c>
      <c r="AE24">
        <f t="shared" si="3"/>
        <v>5</v>
      </c>
      <c r="AF24">
        <f t="shared" si="3"/>
        <v>4</v>
      </c>
      <c r="AG24">
        <f t="shared" si="3"/>
        <v>6</v>
      </c>
      <c r="AH24">
        <f t="shared" si="3"/>
        <v>2</v>
      </c>
      <c r="AI24">
        <f t="shared" si="3"/>
        <v>1</v>
      </c>
      <c r="AJ24">
        <f t="shared" si="3"/>
        <v>3</v>
      </c>
    </row>
    <row r="25" spans="12:36" x14ac:dyDescent="0.2">
      <c r="L25" s="1">
        <v>6</v>
      </c>
      <c r="M25" s="1">
        <v>7</v>
      </c>
      <c r="N25" s="1">
        <v>7</v>
      </c>
      <c r="O25" s="1">
        <v>6</v>
      </c>
      <c r="P25" s="1">
        <v>7</v>
      </c>
      <c r="Q25" s="1">
        <v>7</v>
      </c>
      <c r="R25" s="1">
        <v>7</v>
      </c>
      <c r="S25" s="1">
        <v>6</v>
      </c>
      <c r="T25">
        <f t="shared" si="2"/>
        <v>53</v>
      </c>
      <c r="X25" t="s">
        <v>74</v>
      </c>
      <c r="Y25" t="s">
        <v>73</v>
      </c>
      <c r="Z25" t="s">
        <v>75</v>
      </c>
      <c r="AA25" t="s">
        <v>77</v>
      </c>
      <c r="AB25" t="s">
        <v>76</v>
      </c>
      <c r="AC25" t="s">
        <v>78</v>
      </c>
      <c r="AE25">
        <f t="shared" si="3"/>
        <v>4</v>
      </c>
      <c r="AF25">
        <f t="shared" si="3"/>
        <v>5</v>
      </c>
      <c r="AG25">
        <f t="shared" si="3"/>
        <v>3</v>
      </c>
      <c r="AH25">
        <f t="shared" si="3"/>
        <v>2</v>
      </c>
      <c r="AI25">
        <f t="shared" si="3"/>
        <v>6</v>
      </c>
      <c r="AJ25">
        <f t="shared" si="3"/>
        <v>1</v>
      </c>
    </row>
    <row r="26" spans="12:36" x14ac:dyDescent="0.2">
      <c r="L26" s="1">
        <v>1</v>
      </c>
      <c r="M26" s="1">
        <v>1</v>
      </c>
      <c r="N26" s="1">
        <v>2</v>
      </c>
      <c r="O26" s="1">
        <v>2</v>
      </c>
      <c r="P26" s="1">
        <v>3</v>
      </c>
      <c r="Q26" s="1">
        <v>2</v>
      </c>
      <c r="R26" s="1">
        <v>3</v>
      </c>
      <c r="S26" s="1">
        <v>2</v>
      </c>
      <c r="T26">
        <f t="shared" si="2"/>
        <v>16</v>
      </c>
      <c r="X26" t="s">
        <v>78</v>
      </c>
      <c r="Y26" t="s">
        <v>75</v>
      </c>
      <c r="Z26" t="s">
        <v>73</v>
      </c>
      <c r="AA26" t="s">
        <v>77</v>
      </c>
      <c r="AB26" t="s">
        <v>76</v>
      </c>
      <c r="AC26" t="s">
        <v>74</v>
      </c>
      <c r="AE26">
        <f t="shared" si="3"/>
        <v>4</v>
      </c>
      <c r="AF26">
        <f t="shared" si="3"/>
        <v>5</v>
      </c>
      <c r="AG26">
        <f t="shared" si="3"/>
        <v>2</v>
      </c>
      <c r="AH26">
        <f t="shared" si="3"/>
        <v>3</v>
      </c>
      <c r="AI26">
        <f t="shared" si="3"/>
        <v>1</v>
      </c>
      <c r="AJ26">
        <f t="shared" si="3"/>
        <v>6</v>
      </c>
    </row>
    <row r="27" spans="12:36" x14ac:dyDescent="0.2">
      <c r="L27" s="1">
        <v>7</v>
      </c>
      <c r="M27" s="1">
        <v>7</v>
      </c>
      <c r="N27" s="1">
        <v>7</v>
      </c>
      <c r="O27" s="1">
        <v>7</v>
      </c>
      <c r="P27" s="1">
        <v>7</v>
      </c>
      <c r="Q27" s="1">
        <v>7</v>
      </c>
      <c r="R27" s="1">
        <v>5</v>
      </c>
      <c r="S27" s="1">
        <v>5</v>
      </c>
      <c r="T27">
        <f t="shared" si="2"/>
        <v>52</v>
      </c>
      <c r="X27" t="s">
        <v>78</v>
      </c>
      <c r="Y27" t="s">
        <v>74</v>
      </c>
      <c r="Z27" t="s">
        <v>77</v>
      </c>
      <c r="AA27" t="s">
        <v>73</v>
      </c>
      <c r="AB27" t="s">
        <v>76</v>
      </c>
      <c r="AC27" t="s">
        <v>75</v>
      </c>
      <c r="AE27">
        <f t="shared" si="3"/>
        <v>3</v>
      </c>
      <c r="AF27">
        <f t="shared" si="3"/>
        <v>5</v>
      </c>
      <c r="AG27">
        <f t="shared" si="3"/>
        <v>6</v>
      </c>
      <c r="AH27">
        <f t="shared" si="3"/>
        <v>4</v>
      </c>
      <c r="AI27">
        <f t="shared" si="3"/>
        <v>1</v>
      </c>
      <c r="AJ27">
        <f t="shared" si="3"/>
        <v>2</v>
      </c>
    </row>
    <row r="28" spans="12:36" x14ac:dyDescent="0.2">
      <c r="L28" s="1">
        <v>6</v>
      </c>
      <c r="M28" s="1">
        <v>7</v>
      </c>
      <c r="N28" s="1">
        <v>6</v>
      </c>
      <c r="O28" s="1">
        <v>5</v>
      </c>
      <c r="P28" s="1">
        <v>6</v>
      </c>
      <c r="Q28" s="1">
        <v>6</v>
      </c>
      <c r="R28" s="1">
        <v>3</v>
      </c>
      <c r="S28" s="1">
        <v>6</v>
      </c>
      <c r="T28">
        <f t="shared" si="2"/>
        <v>45</v>
      </c>
      <c r="X28" t="s">
        <v>75</v>
      </c>
      <c r="Y28" t="s">
        <v>73</v>
      </c>
      <c r="Z28" t="s">
        <v>77</v>
      </c>
      <c r="AA28" t="s">
        <v>78</v>
      </c>
      <c r="AB28" t="s">
        <v>74</v>
      </c>
      <c r="AC28" t="s">
        <v>76</v>
      </c>
      <c r="AE28">
        <f t="shared" si="3"/>
        <v>3</v>
      </c>
      <c r="AF28">
        <f t="shared" si="3"/>
        <v>6</v>
      </c>
      <c r="AG28">
        <f t="shared" si="3"/>
        <v>1</v>
      </c>
      <c r="AH28">
        <f t="shared" si="3"/>
        <v>2</v>
      </c>
      <c r="AI28">
        <f t="shared" si="3"/>
        <v>4</v>
      </c>
      <c r="AJ28">
        <f t="shared" si="3"/>
        <v>5</v>
      </c>
    </row>
    <row r="29" spans="12:36" x14ac:dyDescent="0.2"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>
        <f t="shared" si="2"/>
        <v>32</v>
      </c>
      <c r="X29" t="s">
        <v>73</v>
      </c>
      <c r="Y29" t="s">
        <v>76</v>
      </c>
      <c r="Z29" t="s">
        <v>75</v>
      </c>
      <c r="AA29" t="s">
        <v>77</v>
      </c>
      <c r="AB29" t="s">
        <v>74</v>
      </c>
      <c r="AC29" t="s">
        <v>78</v>
      </c>
      <c r="AE29">
        <f t="shared" si="3"/>
        <v>4</v>
      </c>
      <c r="AF29">
        <f t="shared" si="3"/>
        <v>2</v>
      </c>
      <c r="AG29">
        <f t="shared" si="3"/>
        <v>3</v>
      </c>
      <c r="AH29">
        <f t="shared" si="3"/>
        <v>1</v>
      </c>
      <c r="AI29">
        <f t="shared" si="3"/>
        <v>6</v>
      </c>
      <c r="AJ29">
        <f t="shared" si="3"/>
        <v>5</v>
      </c>
    </row>
    <row r="30" spans="12:36" x14ac:dyDescent="0.2">
      <c r="L30" s="1">
        <v>7</v>
      </c>
      <c r="M30" s="1">
        <v>7</v>
      </c>
      <c r="N30" s="1">
        <v>7</v>
      </c>
      <c r="O30" s="1">
        <v>7</v>
      </c>
      <c r="P30" s="1">
        <v>7</v>
      </c>
      <c r="Q30" s="1">
        <v>7</v>
      </c>
      <c r="R30" s="1">
        <v>7</v>
      </c>
      <c r="S30" s="1">
        <v>7</v>
      </c>
      <c r="T30">
        <f t="shared" si="2"/>
        <v>56</v>
      </c>
      <c r="X30" t="s">
        <v>74</v>
      </c>
      <c r="Y30" t="s">
        <v>75</v>
      </c>
      <c r="Z30" t="s">
        <v>77</v>
      </c>
      <c r="AA30" t="s">
        <v>73</v>
      </c>
      <c r="AB30" t="s">
        <v>78</v>
      </c>
      <c r="AC30" t="s">
        <v>76</v>
      </c>
      <c r="AE30">
        <f t="shared" si="3"/>
        <v>3</v>
      </c>
      <c r="AF30">
        <f t="shared" si="3"/>
        <v>6</v>
      </c>
      <c r="AG30">
        <f t="shared" si="3"/>
        <v>2</v>
      </c>
      <c r="AH30">
        <f t="shared" si="3"/>
        <v>4</v>
      </c>
      <c r="AI30">
        <f t="shared" si="3"/>
        <v>5</v>
      </c>
      <c r="AJ30">
        <f t="shared" si="3"/>
        <v>1</v>
      </c>
    </row>
    <row r="31" spans="12:36" x14ac:dyDescent="0.2">
      <c r="L31" s="1">
        <v>5</v>
      </c>
      <c r="M31" s="1">
        <v>7</v>
      </c>
      <c r="N31" s="1">
        <v>7</v>
      </c>
      <c r="O31" s="1">
        <v>5</v>
      </c>
      <c r="P31" s="1">
        <v>6</v>
      </c>
      <c r="Q31" s="1">
        <v>3</v>
      </c>
      <c r="R31" s="1">
        <v>7</v>
      </c>
      <c r="S31" s="1">
        <v>7</v>
      </c>
      <c r="T31">
        <f t="shared" si="2"/>
        <v>47</v>
      </c>
      <c r="X31" t="s">
        <v>73</v>
      </c>
      <c r="Y31" t="s">
        <v>74</v>
      </c>
      <c r="Z31" t="s">
        <v>75</v>
      </c>
      <c r="AA31" t="s">
        <v>77</v>
      </c>
      <c r="AB31" t="s">
        <v>76</v>
      </c>
      <c r="AC31" t="s">
        <v>78</v>
      </c>
      <c r="AE31">
        <f t="shared" si="3"/>
        <v>4</v>
      </c>
      <c r="AF31">
        <f t="shared" si="3"/>
        <v>5</v>
      </c>
      <c r="AG31">
        <f t="shared" si="3"/>
        <v>3</v>
      </c>
      <c r="AH31">
        <f t="shared" si="3"/>
        <v>1</v>
      </c>
      <c r="AI31">
        <f t="shared" si="3"/>
        <v>6</v>
      </c>
      <c r="AJ31">
        <f t="shared" si="3"/>
        <v>2</v>
      </c>
    </row>
    <row r="32" spans="12:36" x14ac:dyDescent="0.2">
      <c r="L32" s="1">
        <v>6</v>
      </c>
      <c r="M32" s="1">
        <v>7</v>
      </c>
      <c r="N32" s="1">
        <v>7</v>
      </c>
      <c r="O32" s="1">
        <v>6</v>
      </c>
      <c r="P32" s="1">
        <v>6</v>
      </c>
      <c r="Q32" s="1">
        <v>6</v>
      </c>
      <c r="R32" s="1">
        <v>5</v>
      </c>
      <c r="S32" s="1">
        <v>7</v>
      </c>
      <c r="T32">
        <f t="shared" si="2"/>
        <v>50</v>
      </c>
      <c r="X32" t="s">
        <v>74</v>
      </c>
      <c r="Y32" t="s">
        <v>75</v>
      </c>
      <c r="Z32" t="s">
        <v>77</v>
      </c>
      <c r="AA32" t="s">
        <v>76</v>
      </c>
      <c r="AB32" t="s">
        <v>73</v>
      </c>
      <c r="AC32" t="s">
        <v>78</v>
      </c>
      <c r="AE32">
        <f t="shared" si="3"/>
        <v>3</v>
      </c>
      <c r="AF32">
        <f t="shared" si="3"/>
        <v>4</v>
      </c>
      <c r="AG32">
        <f t="shared" si="3"/>
        <v>2</v>
      </c>
      <c r="AH32">
        <f t="shared" si="3"/>
        <v>5</v>
      </c>
      <c r="AI32">
        <f t="shared" si="3"/>
        <v>6</v>
      </c>
      <c r="AJ32">
        <f t="shared" si="3"/>
        <v>1</v>
      </c>
    </row>
    <row r="33" spans="12:36" x14ac:dyDescent="0.2">
      <c r="L33" s="1">
        <v>7</v>
      </c>
      <c r="M33" s="1">
        <v>7</v>
      </c>
      <c r="N33" s="1">
        <v>7</v>
      </c>
      <c r="O33" s="1">
        <v>4</v>
      </c>
      <c r="P33" s="1">
        <v>7</v>
      </c>
      <c r="Q33" s="1">
        <v>1</v>
      </c>
      <c r="R33" s="1">
        <v>7</v>
      </c>
      <c r="S33" s="1">
        <v>5</v>
      </c>
      <c r="T33">
        <f t="shared" si="2"/>
        <v>45</v>
      </c>
      <c r="X33" t="s">
        <v>74</v>
      </c>
      <c r="Y33" t="s">
        <v>75</v>
      </c>
      <c r="Z33" t="s">
        <v>73</v>
      </c>
      <c r="AA33" t="s">
        <v>78</v>
      </c>
      <c r="AB33" t="s">
        <v>76</v>
      </c>
      <c r="AC33" t="s">
        <v>77</v>
      </c>
      <c r="AE33">
        <f t="shared" si="3"/>
        <v>6</v>
      </c>
      <c r="AF33">
        <f t="shared" si="3"/>
        <v>5</v>
      </c>
      <c r="AG33">
        <f t="shared" si="3"/>
        <v>2</v>
      </c>
      <c r="AH33">
        <f t="shared" si="3"/>
        <v>3</v>
      </c>
      <c r="AI33">
        <f t="shared" si="3"/>
        <v>4</v>
      </c>
      <c r="AJ33">
        <f t="shared" si="3"/>
        <v>1</v>
      </c>
    </row>
    <row r="34" spans="12:36" x14ac:dyDescent="0.2">
      <c r="L34" s="1">
        <v>6</v>
      </c>
      <c r="M34" s="1">
        <v>5</v>
      </c>
      <c r="N34" s="1">
        <v>5</v>
      </c>
      <c r="O34" s="1">
        <v>5</v>
      </c>
      <c r="P34" s="1">
        <v>5</v>
      </c>
      <c r="Q34" s="1">
        <v>6</v>
      </c>
      <c r="R34" s="1">
        <v>5</v>
      </c>
      <c r="S34" s="1">
        <v>3</v>
      </c>
      <c r="T34">
        <f t="shared" si="2"/>
        <v>40</v>
      </c>
      <c r="X34" t="s">
        <v>73</v>
      </c>
      <c r="Y34" t="s">
        <v>75</v>
      </c>
      <c r="Z34" t="s">
        <v>77</v>
      </c>
      <c r="AA34" t="s">
        <v>78</v>
      </c>
      <c r="AB34" t="s">
        <v>74</v>
      </c>
      <c r="AC34" t="s">
        <v>76</v>
      </c>
      <c r="AE34">
        <f t="shared" si="3"/>
        <v>3</v>
      </c>
      <c r="AF34">
        <f t="shared" si="3"/>
        <v>6</v>
      </c>
      <c r="AG34">
        <f t="shared" si="3"/>
        <v>2</v>
      </c>
      <c r="AH34">
        <f t="shared" si="3"/>
        <v>1</v>
      </c>
      <c r="AI34">
        <f t="shared" si="3"/>
        <v>4</v>
      </c>
      <c r="AJ34">
        <f t="shared" si="3"/>
        <v>5</v>
      </c>
    </row>
    <row r="35" spans="12:36" x14ac:dyDescent="0.2">
      <c r="L35" s="1">
        <v>7</v>
      </c>
      <c r="M35" s="1">
        <v>7</v>
      </c>
      <c r="N35" s="1">
        <v>7</v>
      </c>
      <c r="O35" s="1">
        <v>7</v>
      </c>
      <c r="P35" s="1">
        <v>7</v>
      </c>
      <c r="Q35" s="1">
        <v>7</v>
      </c>
      <c r="R35" s="1">
        <v>7</v>
      </c>
      <c r="S35" s="1">
        <v>7</v>
      </c>
      <c r="T35">
        <f t="shared" si="2"/>
        <v>56</v>
      </c>
      <c r="X35" t="s">
        <v>74</v>
      </c>
      <c r="Y35" t="s">
        <v>75</v>
      </c>
      <c r="Z35" t="s">
        <v>77</v>
      </c>
      <c r="AA35" t="s">
        <v>78</v>
      </c>
      <c r="AB35" t="s">
        <v>73</v>
      </c>
      <c r="AC35" t="s">
        <v>76</v>
      </c>
      <c r="AE35">
        <f t="shared" ref="AE35:AJ52" si="5">MATCH(AE$1,$X35:$AC35,0)</f>
        <v>3</v>
      </c>
      <c r="AF35">
        <f t="shared" si="5"/>
        <v>6</v>
      </c>
      <c r="AG35">
        <f t="shared" si="5"/>
        <v>2</v>
      </c>
      <c r="AH35">
        <f t="shared" si="5"/>
        <v>5</v>
      </c>
      <c r="AI35">
        <f t="shared" si="5"/>
        <v>4</v>
      </c>
      <c r="AJ35">
        <f t="shared" si="5"/>
        <v>1</v>
      </c>
    </row>
    <row r="36" spans="12:36" x14ac:dyDescent="0.2">
      <c r="L36" s="1">
        <v>1</v>
      </c>
      <c r="M36" s="1">
        <v>1</v>
      </c>
      <c r="N36" s="1">
        <v>5</v>
      </c>
      <c r="O36" s="1">
        <v>4</v>
      </c>
      <c r="P36" s="1">
        <v>6</v>
      </c>
      <c r="Q36" s="1">
        <v>1</v>
      </c>
      <c r="R36" s="1">
        <v>2</v>
      </c>
      <c r="S36" s="1">
        <v>2</v>
      </c>
      <c r="T36">
        <f t="shared" si="2"/>
        <v>22</v>
      </c>
      <c r="X36" t="s">
        <v>75</v>
      </c>
      <c r="Y36" t="s">
        <v>73</v>
      </c>
      <c r="Z36" t="s">
        <v>78</v>
      </c>
      <c r="AA36" t="s">
        <v>76</v>
      </c>
      <c r="AB36" t="s">
        <v>77</v>
      </c>
      <c r="AC36" t="s">
        <v>74</v>
      </c>
      <c r="AE36">
        <f t="shared" si="5"/>
        <v>5</v>
      </c>
      <c r="AF36">
        <f t="shared" si="5"/>
        <v>4</v>
      </c>
      <c r="AG36">
        <f t="shared" si="5"/>
        <v>1</v>
      </c>
      <c r="AH36">
        <f t="shared" si="5"/>
        <v>2</v>
      </c>
      <c r="AI36">
        <f t="shared" si="5"/>
        <v>3</v>
      </c>
      <c r="AJ36">
        <f t="shared" si="5"/>
        <v>6</v>
      </c>
    </row>
    <row r="37" spans="12:36" x14ac:dyDescent="0.2">
      <c r="L37" s="1">
        <v>7</v>
      </c>
      <c r="M37" s="1">
        <v>7</v>
      </c>
      <c r="N37" s="1">
        <v>7</v>
      </c>
      <c r="O37" s="1">
        <v>7</v>
      </c>
      <c r="P37" s="1">
        <v>7</v>
      </c>
      <c r="Q37" s="1">
        <v>7</v>
      </c>
      <c r="R37" s="1">
        <v>7</v>
      </c>
      <c r="S37" s="1">
        <v>7</v>
      </c>
      <c r="T37">
        <f t="shared" si="2"/>
        <v>56</v>
      </c>
      <c r="X37" t="s">
        <v>74</v>
      </c>
      <c r="Y37" t="s">
        <v>78</v>
      </c>
      <c r="Z37" t="s">
        <v>76</v>
      </c>
      <c r="AA37" t="s">
        <v>73</v>
      </c>
      <c r="AB37" t="s">
        <v>77</v>
      </c>
      <c r="AC37" t="s">
        <v>75</v>
      </c>
      <c r="AE37">
        <f t="shared" si="5"/>
        <v>5</v>
      </c>
      <c r="AF37">
        <f t="shared" si="5"/>
        <v>3</v>
      </c>
      <c r="AG37">
        <f t="shared" si="5"/>
        <v>6</v>
      </c>
      <c r="AH37">
        <f t="shared" si="5"/>
        <v>4</v>
      </c>
      <c r="AI37">
        <f t="shared" si="5"/>
        <v>2</v>
      </c>
      <c r="AJ37">
        <f t="shared" si="5"/>
        <v>1</v>
      </c>
    </row>
    <row r="38" spans="12:36" x14ac:dyDescent="0.2">
      <c r="L38" s="1">
        <v>6</v>
      </c>
      <c r="M38" s="1">
        <v>5</v>
      </c>
      <c r="N38" s="1">
        <v>6</v>
      </c>
      <c r="O38" s="1">
        <v>6</v>
      </c>
      <c r="P38" s="1">
        <v>6</v>
      </c>
      <c r="Q38" s="1">
        <v>7</v>
      </c>
      <c r="R38" s="1">
        <v>5</v>
      </c>
      <c r="S38" s="1">
        <v>6</v>
      </c>
      <c r="T38">
        <f t="shared" si="2"/>
        <v>47</v>
      </c>
      <c r="X38" t="s">
        <v>77</v>
      </c>
      <c r="Y38" t="s">
        <v>75</v>
      </c>
      <c r="Z38" t="s">
        <v>76</v>
      </c>
      <c r="AA38" t="s">
        <v>74</v>
      </c>
      <c r="AB38" t="s">
        <v>78</v>
      </c>
      <c r="AC38" t="s">
        <v>73</v>
      </c>
      <c r="AE38">
        <f t="shared" si="5"/>
        <v>1</v>
      </c>
      <c r="AF38">
        <f t="shared" si="5"/>
        <v>3</v>
      </c>
      <c r="AG38">
        <f t="shared" si="5"/>
        <v>2</v>
      </c>
      <c r="AH38">
        <f t="shared" si="5"/>
        <v>6</v>
      </c>
      <c r="AI38">
        <f t="shared" si="5"/>
        <v>5</v>
      </c>
      <c r="AJ38">
        <f t="shared" si="5"/>
        <v>4</v>
      </c>
    </row>
    <row r="39" spans="12:36" x14ac:dyDescent="0.2">
      <c r="L39" s="1">
        <v>7</v>
      </c>
      <c r="M39" s="1">
        <v>7</v>
      </c>
      <c r="N39" s="1">
        <v>7</v>
      </c>
      <c r="O39" s="1">
        <v>7</v>
      </c>
      <c r="P39" s="1">
        <v>7</v>
      </c>
      <c r="Q39" s="1">
        <v>7</v>
      </c>
      <c r="R39" s="1">
        <v>6</v>
      </c>
      <c r="S39" s="1">
        <v>7</v>
      </c>
      <c r="T39">
        <f t="shared" si="2"/>
        <v>55</v>
      </c>
      <c r="X39" t="s">
        <v>74</v>
      </c>
      <c r="Y39" t="s">
        <v>75</v>
      </c>
      <c r="Z39" t="s">
        <v>78</v>
      </c>
      <c r="AA39" t="s">
        <v>73</v>
      </c>
      <c r="AB39" t="s">
        <v>76</v>
      </c>
      <c r="AC39" t="s">
        <v>77</v>
      </c>
      <c r="AE39">
        <f t="shared" si="5"/>
        <v>6</v>
      </c>
      <c r="AF39">
        <f t="shared" si="5"/>
        <v>5</v>
      </c>
      <c r="AG39">
        <f t="shared" si="5"/>
        <v>2</v>
      </c>
      <c r="AH39">
        <f t="shared" si="5"/>
        <v>4</v>
      </c>
      <c r="AI39">
        <f t="shared" si="5"/>
        <v>3</v>
      </c>
      <c r="AJ39">
        <f t="shared" si="5"/>
        <v>1</v>
      </c>
    </row>
    <row r="40" spans="12:36" x14ac:dyDescent="0.2">
      <c r="L40" s="1">
        <v>7</v>
      </c>
      <c r="M40" s="1">
        <v>7</v>
      </c>
      <c r="N40" s="1">
        <v>7</v>
      </c>
      <c r="O40" s="1">
        <v>7</v>
      </c>
      <c r="P40" s="1">
        <v>7</v>
      </c>
      <c r="Q40" s="1">
        <v>7</v>
      </c>
      <c r="R40" s="1">
        <v>4</v>
      </c>
      <c r="S40" s="1">
        <v>7</v>
      </c>
      <c r="T40">
        <f t="shared" si="2"/>
        <v>53</v>
      </c>
      <c r="X40" t="s">
        <v>73</v>
      </c>
      <c r="Y40" t="s">
        <v>74</v>
      </c>
      <c r="Z40" t="s">
        <v>75</v>
      </c>
      <c r="AA40" t="s">
        <v>78</v>
      </c>
      <c r="AB40" t="s">
        <v>76</v>
      </c>
      <c r="AC40" t="s">
        <v>77</v>
      </c>
      <c r="AE40">
        <f t="shared" si="5"/>
        <v>6</v>
      </c>
      <c r="AF40">
        <f t="shared" si="5"/>
        <v>5</v>
      </c>
      <c r="AG40">
        <f t="shared" si="5"/>
        <v>3</v>
      </c>
      <c r="AH40">
        <f t="shared" si="5"/>
        <v>1</v>
      </c>
      <c r="AI40">
        <f t="shared" si="5"/>
        <v>4</v>
      </c>
      <c r="AJ40">
        <f t="shared" si="5"/>
        <v>2</v>
      </c>
    </row>
    <row r="41" spans="12:36" x14ac:dyDescent="0.2">
      <c r="L41" s="1">
        <v>2</v>
      </c>
      <c r="M41" s="1">
        <v>6</v>
      </c>
      <c r="N41" s="1">
        <v>3</v>
      </c>
      <c r="O41" s="1">
        <v>5</v>
      </c>
      <c r="P41" s="1">
        <v>4</v>
      </c>
      <c r="Q41" s="1">
        <v>1</v>
      </c>
      <c r="R41" s="1">
        <v>2</v>
      </c>
      <c r="S41" s="1">
        <v>6</v>
      </c>
      <c r="T41">
        <f t="shared" si="2"/>
        <v>29</v>
      </c>
      <c r="X41" t="s">
        <v>76</v>
      </c>
      <c r="Y41" t="s">
        <v>73</v>
      </c>
      <c r="Z41" t="s">
        <v>75</v>
      </c>
      <c r="AA41" t="s">
        <v>78</v>
      </c>
      <c r="AB41" t="s">
        <v>77</v>
      </c>
      <c r="AC41" t="s">
        <v>74</v>
      </c>
      <c r="AE41">
        <f t="shared" si="5"/>
        <v>5</v>
      </c>
      <c r="AF41">
        <f t="shared" si="5"/>
        <v>1</v>
      </c>
      <c r="AG41">
        <f t="shared" si="5"/>
        <v>3</v>
      </c>
      <c r="AH41">
        <f t="shared" si="5"/>
        <v>2</v>
      </c>
      <c r="AI41">
        <f t="shared" si="5"/>
        <v>4</v>
      </c>
      <c r="AJ41">
        <f t="shared" si="5"/>
        <v>6</v>
      </c>
    </row>
    <row r="42" spans="12:36" x14ac:dyDescent="0.2">
      <c r="L42" s="1">
        <v>6</v>
      </c>
      <c r="M42" s="1">
        <v>6</v>
      </c>
      <c r="N42" s="1">
        <v>7</v>
      </c>
      <c r="O42" s="1">
        <v>6</v>
      </c>
      <c r="P42" s="1">
        <v>5</v>
      </c>
      <c r="Q42" s="1">
        <v>6</v>
      </c>
      <c r="R42" s="1">
        <v>5</v>
      </c>
      <c r="S42" s="1">
        <v>7</v>
      </c>
      <c r="T42">
        <f t="shared" si="2"/>
        <v>48</v>
      </c>
      <c r="X42" t="s">
        <v>73</v>
      </c>
      <c r="Y42" t="s">
        <v>75</v>
      </c>
      <c r="Z42" t="s">
        <v>77</v>
      </c>
      <c r="AA42" t="s">
        <v>78</v>
      </c>
      <c r="AB42" t="s">
        <v>76</v>
      </c>
      <c r="AC42" t="s">
        <v>74</v>
      </c>
      <c r="AE42">
        <f t="shared" si="5"/>
        <v>3</v>
      </c>
      <c r="AF42">
        <f t="shared" si="5"/>
        <v>5</v>
      </c>
      <c r="AG42">
        <f t="shared" si="5"/>
        <v>2</v>
      </c>
      <c r="AH42">
        <f t="shared" si="5"/>
        <v>1</v>
      </c>
      <c r="AI42">
        <f t="shared" si="5"/>
        <v>4</v>
      </c>
      <c r="AJ42">
        <f t="shared" si="5"/>
        <v>6</v>
      </c>
    </row>
    <row r="43" spans="12:36" x14ac:dyDescent="0.2">
      <c r="L43" s="1">
        <v>4</v>
      </c>
      <c r="M43" s="1">
        <v>7</v>
      </c>
      <c r="N43" s="1">
        <v>7</v>
      </c>
      <c r="O43" s="1">
        <v>6</v>
      </c>
      <c r="P43" s="1">
        <v>7</v>
      </c>
      <c r="Q43" s="1">
        <v>6</v>
      </c>
      <c r="R43" s="1">
        <v>6</v>
      </c>
      <c r="S43" s="1">
        <v>6</v>
      </c>
      <c r="T43">
        <f t="shared" si="2"/>
        <v>49</v>
      </c>
      <c r="X43" t="s">
        <v>73</v>
      </c>
      <c r="Y43" t="s">
        <v>74</v>
      </c>
      <c r="Z43" t="s">
        <v>75</v>
      </c>
      <c r="AA43" t="s">
        <v>78</v>
      </c>
      <c r="AB43" t="s">
        <v>77</v>
      </c>
      <c r="AC43" t="s">
        <v>76</v>
      </c>
      <c r="AE43">
        <f t="shared" si="5"/>
        <v>5</v>
      </c>
      <c r="AF43">
        <f t="shared" si="5"/>
        <v>6</v>
      </c>
      <c r="AG43">
        <f t="shared" si="5"/>
        <v>3</v>
      </c>
      <c r="AH43">
        <f t="shared" si="5"/>
        <v>1</v>
      </c>
      <c r="AI43">
        <f t="shared" si="5"/>
        <v>4</v>
      </c>
      <c r="AJ43">
        <f t="shared" si="5"/>
        <v>2</v>
      </c>
    </row>
    <row r="44" spans="12:36" x14ac:dyDescent="0.2">
      <c r="L44" s="1">
        <v>2</v>
      </c>
      <c r="M44" s="1">
        <v>3</v>
      </c>
      <c r="N44" s="1">
        <v>2</v>
      </c>
      <c r="O44" s="1">
        <v>3</v>
      </c>
      <c r="P44" s="1">
        <v>5</v>
      </c>
      <c r="Q44" s="1">
        <v>1</v>
      </c>
      <c r="R44" s="1">
        <v>2</v>
      </c>
      <c r="S44" s="1">
        <v>2</v>
      </c>
      <c r="T44">
        <f t="shared" si="2"/>
        <v>20</v>
      </c>
      <c r="X44" t="s">
        <v>75</v>
      </c>
      <c r="Y44" t="s">
        <v>78</v>
      </c>
      <c r="Z44" t="s">
        <v>77</v>
      </c>
      <c r="AA44" t="s">
        <v>73</v>
      </c>
      <c r="AB44" t="s">
        <v>76</v>
      </c>
      <c r="AC44" t="s">
        <v>74</v>
      </c>
      <c r="AE44">
        <f t="shared" si="5"/>
        <v>3</v>
      </c>
      <c r="AF44">
        <f t="shared" si="5"/>
        <v>5</v>
      </c>
      <c r="AG44">
        <f t="shared" si="5"/>
        <v>1</v>
      </c>
      <c r="AH44">
        <f t="shared" si="5"/>
        <v>4</v>
      </c>
      <c r="AI44">
        <f t="shared" si="5"/>
        <v>2</v>
      </c>
      <c r="AJ44">
        <f t="shared" si="5"/>
        <v>6</v>
      </c>
    </row>
    <row r="45" spans="12:36" x14ac:dyDescent="0.2">
      <c r="L45" s="1">
        <v>6</v>
      </c>
      <c r="M45" s="1">
        <v>2</v>
      </c>
      <c r="N45" s="1">
        <v>5</v>
      </c>
      <c r="O45" s="1">
        <v>4</v>
      </c>
      <c r="P45" s="1">
        <v>5</v>
      </c>
      <c r="Q45" s="1">
        <v>4</v>
      </c>
      <c r="R45" s="1">
        <v>4</v>
      </c>
      <c r="S45" s="1">
        <v>2</v>
      </c>
      <c r="T45">
        <f t="shared" si="2"/>
        <v>32</v>
      </c>
      <c r="X45" t="s">
        <v>76</v>
      </c>
      <c r="Y45" t="s">
        <v>75</v>
      </c>
      <c r="Z45" t="s">
        <v>73</v>
      </c>
      <c r="AA45" t="s">
        <v>74</v>
      </c>
      <c r="AB45" t="s">
        <v>77</v>
      </c>
      <c r="AC45" t="s">
        <v>78</v>
      </c>
      <c r="AE45">
        <f t="shared" si="5"/>
        <v>5</v>
      </c>
      <c r="AF45">
        <f t="shared" si="5"/>
        <v>1</v>
      </c>
      <c r="AG45">
        <f t="shared" si="5"/>
        <v>2</v>
      </c>
      <c r="AH45">
        <f t="shared" si="5"/>
        <v>3</v>
      </c>
      <c r="AI45">
        <f t="shared" si="5"/>
        <v>6</v>
      </c>
      <c r="AJ45">
        <f t="shared" si="5"/>
        <v>4</v>
      </c>
    </row>
    <row r="46" spans="12:36" x14ac:dyDescent="0.2">
      <c r="L46" s="1">
        <v>4</v>
      </c>
      <c r="M46" s="1">
        <v>6</v>
      </c>
      <c r="N46" s="1">
        <v>6</v>
      </c>
      <c r="O46" s="1">
        <v>7</v>
      </c>
      <c r="P46" s="1">
        <v>6</v>
      </c>
      <c r="Q46" s="1">
        <v>2</v>
      </c>
      <c r="R46" s="1">
        <v>5</v>
      </c>
      <c r="S46" s="1">
        <v>5</v>
      </c>
      <c r="T46">
        <f t="shared" si="2"/>
        <v>41</v>
      </c>
      <c r="X46" t="s">
        <v>73</v>
      </c>
      <c r="Y46" t="s">
        <v>75</v>
      </c>
      <c r="Z46" t="s">
        <v>78</v>
      </c>
      <c r="AA46" t="s">
        <v>74</v>
      </c>
      <c r="AB46" t="s">
        <v>76</v>
      </c>
      <c r="AC46" t="s">
        <v>77</v>
      </c>
      <c r="AE46">
        <f t="shared" si="5"/>
        <v>6</v>
      </c>
      <c r="AF46">
        <f t="shared" si="5"/>
        <v>5</v>
      </c>
      <c r="AG46">
        <f t="shared" si="5"/>
        <v>2</v>
      </c>
      <c r="AH46">
        <f t="shared" si="5"/>
        <v>1</v>
      </c>
      <c r="AI46">
        <f t="shared" si="5"/>
        <v>3</v>
      </c>
      <c r="AJ46">
        <f t="shared" si="5"/>
        <v>4</v>
      </c>
    </row>
    <row r="47" spans="12:36" x14ac:dyDescent="0.2">
      <c r="L47" s="1">
        <v>6</v>
      </c>
      <c r="M47" s="1">
        <v>6</v>
      </c>
      <c r="N47" s="1">
        <v>6</v>
      </c>
      <c r="O47" s="1">
        <v>6</v>
      </c>
      <c r="P47" s="1">
        <v>6</v>
      </c>
      <c r="Q47" s="1">
        <v>6</v>
      </c>
      <c r="R47" s="1">
        <v>6</v>
      </c>
      <c r="S47" s="1">
        <v>6</v>
      </c>
      <c r="T47">
        <f t="shared" si="2"/>
        <v>48</v>
      </c>
      <c r="X47" t="s">
        <v>74</v>
      </c>
      <c r="Y47" t="s">
        <v>75</v>
      </c>
      <c r="Z47" t="s">
        <v>76</v>
      </c>
      <c r="AA47" t="s">
        <v>73</v>
      </c>
      <c r="AB47" t="s">
        <v>78</v>
      </c>
      <c r="AC47" t="s">
        <v>77</v>
      </c>
      <c r="AE47">
        <f t="shared" si="5"/>
        <v>6</v>
      </c>
      <c r="AF47">
        <f t="shared" si="5"/>
        <v>3</v>
      </c>
      <c r="AG47">
        <f t="shared" si="5"/>
        <v>2</v>
      </c>
      <c r="AH47">
        <f t="shared" si="5"/>
        <v>4</v>
      </c>
      <c r="AI47">
        <f t="shared" si="5"/>
        <v>5</v>
      </c>
      <c r="AJ47">
        <f t="shared" si="5"/>
        <v>1</v>
      </c>
    </row>
    <row r="48" spans="12:36" x14ac:dyDescent="0.2">
      <c r="L48" s="1">
        <v>6</v>
      </c>
      <c r="M48" s="1">
        <v>7</v>
      </c>
      <c r="N48" s="1">
        <v>5</v>
      </c>
      <c r="O48" s="1">
        <v>5</v>
      </c>
      <c r="P48" s="1">
        <v>4</v>
      </c>
      <c r="Q48" s="1">
        <v>1</v>
      </c>
      <c r="R48" s="1">
        <v>4</v>
      </c>
      <c r="S48" s="1">
        <v>7</v>
      </c>
      <c r="T48">
        <f t="shared" si="2"/>
        <v>39</v>
      </c>
      <c r="X48" t="s">
        <v>73</v>
      </c>
      <c r="Y48" t="s">
        <v>74</v>
      </c>
      <c r="Z48" t="s">
        <v>78</v>
      </c>
      <c r="AA48" t="s">
        <v>77</v>
      </c>
      <c r="AB48" t="s">
        <v>75</v>
      </c>
      <c r="AC48" t="s">
        <v>76</v>
      </c>
      <c r="AE48">
        <f t="shared" si="5"/>
        <v>4</v>
      </c>
      <c r="AF48">
        <f t="shared" si="5"/>
        <v>6</v>
      </c>
      <c r="AG48">
        <f t="shared" si="5"/>
        <v>5</v>
      </c>
      <c r="AH48">
        <f t="shared" si="5"/>
        <v>1</v>
      </c>
      <c r="AI48">
        <f t="shared" si="5"/>
        <v>3</v>
      </c>
      <c r="AJ48">
        <f t="shared" si="5"/>
        <v>2</v>
      </c>
    </row>
    <row r="49" spans="12:36" x14ac:dyDescent="0.2">
      <c r="L49" s="1">
        <v>7</v>
      </c>
      <c r="M49" s="1">
        <v>7</v>
      </c>
      <c r="N49" s="1">
        <v>7</v>
      </c>
      <c r="O49" s="1">
        <v>7</v>
      </c>
      <c r="P49" s="1">
        <v>7</v>
      </c>
      <c r="Q49" s="1">
        <v>7</v>
      </c>
      <c r="R49" s="1">
        <v>7</v>
      </c>
      <c r="S49" s="1">
        <v>7</v>
      </c>
      <c r="T49">
        <f t="shared" si="2"/>
        <v>56</v>
      </c>
      <c r="X49" t="s">
        <v>73</v>
      </c>
      <c r="Y49" t="s">
        <v>74</v>
      </c>
      <c r="Z49" t="s">
        <v>76</v>
      </c>
      <c r="AA49" t="s">
        <v>75</v>
      </c>
      <c r="AB49" t="s">
        <v>78</v>
      </c>
      <c r="AC49" t="s">
        <v>77</v>
      </c>
      <c r="AE49">
        <f t="shared" si="5"/>
        <v>6</v>
      </c>
      <c r="AF49">
        <f t="shared" si="5"/>
        <v>3</v>
      </c>
      <c r="AG49">
        <f t="shared" si="5"/>
        <v>4</v>
      </c>
      <c r="AH49">
        <f t="shared" si="5"/>
        <v>1</v>
      </c>
      <c r="AI49">
        <f t="shared" si="5"/>
        <v>5</v>
      </c>
      <c r="AJ49">
        <f t="shared" si="5"/>
        <v>2</v>
      </c>
    </row>
    <row r="50" spans="12:36" x14ac:dyDescent="0.2">
      <c r="L50" s="1">
        <v>1</v>
      </c>
      <c r="M50" s="1">
        <v>6</v>
      </c>
      <c r="N50" s="1">
        <v>7</v>
      </c>
      <c r="O50" s="1">
        <v>6</v>
      </c>
      <c r="P50" s="1">
        <v>6</v>
      </c>
      <c r="Q50" s="1">
        <v>6</v>
      </c>
      <c r="R50" s="1">
        <v>4</v>
      </c>
      <c r="S50" s="1">
        <v>6</v>
      </c>
      <c r="T50">
        <f t="shared" si="2"/>
        <v>42</v>
      </c>
      <c r="X50" t="s">
        <v>73</v>
      </c>
      <c r="Y50" t="s">
        <v>78</v>
      </c>
      <c r="Z50" t="s">
        <v>75</v>
      </c>
      <c r="AA50" t="s">
        <v>76</v>
      </c>
      <c r="AB50" t="s">
        <v>74</v>
      </c>
      <c r="AC50" t="s">
        <v>77</v>
      </c>
      <c r="AE50">
        <f t="shared" si="5"/>
        <v>6</v>
      </c>
      <c r="AF50">
        <f t="shared" si="5"/>
        <v>4</v>
      </c>
      <c r="AG50">
        <f t="shared" si="5"/>
        <v>3</v>
      </c>
      <c r="AH50">
        <f t="shared" si="5"/>
        <v>1</v>
      </c>
      <c r="AI50">
        <f t="shared" si="5"/>
        <v>2</v>
      </c>
      <c r="AJ50">
        <f t="shared" si="5"/>
        <v>5</v>
      </c>
    </row>
    <row r="51" spans="12:36" x14ac:dyDescent="0.2">
      <c r="L51" s="1">
        <v>5</v>
      </c>
      <c r="M51" s="1">
        <v>5</v>
      </c>
      <c r="N51" s="1">
        <v>6</v>
      </c>
      <c r="O51" s="1">
        <v>5</v>
      </c>
      <c r="P51" s="1">
        <v>4</v>
      </c>
      <c r="Q51" s="1">
        <v>3</v>
      </c>
      <c r="R51" s="1">
        <v>7</v>
      </c>
      <c r="S51" s="1">
        <v>6</v>
      </c>
      <c r="T51">
        <f t="shared" si="2"/>
        <v>41</v>
      </c>
      <c r="X51" t="s">
        <v>73</v>
      </c>
      <c r="Y51" t="s">
        <v>75</v>
      </c>
      <c r="Z51" t="s">
        <v>77</v>
      </c>
      <c r="AA51" t="s">
        <v>76</v>
      </c>
      <c r="AB51" t="s">
        <v>74</v>
      </c>
      <c r="AC51" t="s">
        <v>78</v>
      </c>
      <c r="AE51">
        <f t="shared" si="5"/>
        <v>3</v>
      </c>
      <c r="AF51">
        <f t="shared" si="5"/>
        <v>4</v>
      </c>
      <c r="AG51">
        <f t="shared" si="5"/>
        <v>2</v>
      </c>
      <c r="AH51">
        <f t="shared" si="5"/>
        <v>1</v>
      </c>
      <c r="AI51">
        <f t="shared" si="5"/>
        <v>6</v>
      </c>
      <c r="AJ51">
        <f t="shared" si="5"/>
        <v>5</v>
      </c>
    </row>
    <row r="52" spans="12:36" x14ac:dyDescent="0.2">
      <c r="L52" s="1">
        <v>5</v>
      </c>
      <c r="M52" s="1">
        <v>5</v>
      </c>
      <c r="N52" s="1">
        <v>4</v>
      </c>
      <c r="O52" s="1">
        <v>5</v>
      </c>
      <c r="P52" s="1">
        <v>5</v>
      </c>
      <c r="Q52" s="1">
        <v>2</v>
      </c>
      <c r="R52" s="1">
        <v>2</v>
      </c>
      <c r="S52" s="1">
        <v>3</v>
      </c>
      <c r="T52">
        <f t="shared" si="2"/>
        <v>31</v>
      </c>
      <c r="X52" t="s">
        <v>75</v>
      </c>
      <c r="Y52" t="s">
        <v>74</v>
      </c>
      <c r="Z52" t="s">
        <v>73</v>
      </c>
      <c r="AA52" t="s">
        <v>76</v>
      </c>
      <c r="AB52" t="s">
        <v>77</v>
      </c>
      <c r="AC52" t="s">
        <v>78</v>
      </c>
      <c r="AE52">
        <f t="shared" si="5"/>
        <v>5</v>
      </c>
      <c r="AF52">
        <f t="shared" si="5"/>
        <v>4</v>
      </c>
      <c r="AG52">
        <f t="shared" si="5"/>
        <v>1</v>
      </c>
      <c r="AH52">
        <f t="shared" si="5"/>
        <v>3</v>
      </c>
      <c r="AI52">
        <f t="shared" si="5"/>
        <v>6</v>
      </c>
      <c r="AJ52">
        <f t="shared" si="5"/>
        <v>2</v>
      </c>
    </row>
    <row r="53" spans="12:36" x14ac:dyDescent="0.2">
      <c r="AE53" s="2">
        <f>AVERAGE(AE2:AE52)</f>
        <v>4.0392156862745097</v>
      </c>
      <c r="AF53" s="2">
        <f t="shared" ref="AF53:AJ53" si="6">AVERAGE(AF2:AF52)</f>
        <v>4.5686274509803919</v>
      </c>
      <c r="AG53" s="2">
        <f t="shared" si="6"/>
        <v>2.607843137254902</v>
      </c>
      <c r="AH53" s="2">
        <f t="shared" si="6"/>
        <v>2.784313725490196</v>
      </c>
      <c r="AI53" s="2">
        <f t="shared" si="6"/>
        <v>4.333333333333333</v>
      </c>
      <c r="AJ53" s="2">
        <f t="shared" si="6"/>
        <v>2.6666666666666665</v>
      </c>
    </row>
  </sheetData>
  <sortState xmlns:xlrd2="http://schemas.microsoft.com/office/spreadsheetml/2017/richdata2" ref="A10:D15">
    <sortCondition ref="D10:D15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Untersuchung zur Erklärungsqua</vt:lpstr>
      <vt:lpstr>Auswertung Darstellungen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Julius Schmidt</cp:lastModifiedBy>
  <cp:revision>0</cp:revision>
  <dcterms:created xsi:type="dcterms:W3CDTF">2025-09-29T08:23:44Z</dcterms:created>
  <dcterms:modified xsi:type="dcterms:W3CDTF">2025-10-13T13:17:02Z</dcterms:modified>
</cp:coreProperties>
</file>